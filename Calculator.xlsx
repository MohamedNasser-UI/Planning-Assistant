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hamed.abdelnaser\Desktop\Planing Assistant\Web-based\"/>
    </mc:Choice>
  </mc:AlternateContent>
  <xr:revisionPtr revIDLastSave="0" documentId="13_ncr:1_{44BCCCA3-1245-4BDB-9E9A-E6DD618D44C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Test" sheetId="4" r:id="rId3"/>
    <sheet name="rearing" sheetId="6" r:id="rId4"/>
    <sheet name="All In" sheetId="7" r:id="rId5"/>
    <sheet name="Sheet4" sheetId="5" r:id="rId6"/>
    <sheet name="Sheet3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  <c r="C11" i="7"/>
  <c r="C9" i="7"/>
  <c r="C2" i="7"/>
  <c r="C17" i="7"/>
  <c r="C14" i="7"/>
  <c r="H6" i="7"/>
  <c r="G9" i="7"/>
  <c r="C36" i="6"/>
  <c r="C31" i="6"/>
  <c r="C30" i="6"/>
  <c r="C28" i="6"/>
  <c r="C24" i="6"/>
  <c r="C21" i="6"/>
  <c r="C26" i="6"/>
  <c r="C59" i="6"/>
  <c r="C60" i="6" s="1"/>
  <c r="C39" i="7"/>
  <c r="C62" i="7"/>
  <c r="C61" i="7"/>
  <c r="C46" i="7"/>
  <c r="C47" i="7" s="1"/>
  <c r="C49" i="7" s="1"/>
  <c r="C41" i="7"/>
  <c r="H37" i="7"/>
  <c r="H34" i="7"/>
  <c r="C26" i="7"/>
  <c r="C24" i="7"/>
  <c r="C31" i="7" s="1"/>
  <c r="C20" i="7"/>
  <c r="C21" i="7" s="1"/>
  <c r="I14" i="7"/>
  <c r="J14" i="7" s="1"/>
  <c r="K14" i="7" s="1"/>
  <c r="C62" i="6"/>
  <c r="C9" i="6"/>
  <c r="C63" i="6"/>
  <c r="C47" i="6"/>
  <c r="C48" i="6" s="1"/>
  <c r="C50" i="6" s="1"/>
  <c r="C42" i="6"/>
  <c r="H38" i="6"/>
  <c r="H35" i="6"/>
  <c r="C20" i="6"/>
  <c r="C17" i="6"/>
  <c r="I14" i="6"/>
  <c r="C11" i="6"/>
  <c r="G9" i="6"/>
  <c r="C32" i="4"/>
  <c r="C39" i="4" s="1"/>
  <c r="C42" i="4" s="1"/>
  <c r="C47" i="4"/>
  <c r="C46" i="4"/>
  <c r="C41" i="4"/>
  <c r="C59" i="4"/>
  <c r="C58" i="4"/>
  <c r="C49" i="4"/>
  <c r="C62" i="4"/>
  <c r="C61" i="4"/>
  <c r="G60" i="4"/>
  <c r="C9" i="4"/>
  <c r="C12" i="4" s="1"/>
  <c r="C14" i="4" s="1"/>
  <c r="C2" i="4"/>
  <c r="I14" i="4"/>
  <c r="J14" i="4" s="1"/>
  <c r="K14" i="4" s="1"/>
  <c r="D6" i="5"/>
  <c r="D7" i="5"/>
  <c r="D8" i="5" s="1"/>
  <c r="D5" i="5"/>
  <c r="C32" i="6" l="1"/>
  <c r="C12" i="6"/>
  <c r="C14" i="6" s="1"/>
  <c r="C58" i="7"/>
  <c r="C59" i="7" s="1"/>
  <c r="G60" i="7"/>
  <c r="C28" i="7"/>
  <c r="C30" i="7" s="1"/>
  <c r="J14" i="6"/>
  <c r="K14" i="6" s="1"/>
  <c r="C2" i="6"/>
  <c r="G61" i="6"/>
  <c r="C26" i="4"/>
  <c r="C17" i="4"/>
  <c r="H37" i="4"/>
  <c r="H34" i="4"/>
  <c r="C31" i="4"/>
  <c r="C24" i="4"/>
  <c r="C28" i="4" s="1"/>
  <c r="C30" i="4" s="1"/>
  <c r="C20" i="4"/>
  <c r="C11" i="4"/>
  <c r="G9" i="4"/>
  <c r="C21" i="4"/>
  <c r="C50" i="4" s="1"/>
  <c r="C35" i="2"/>
  <c r="C37" i="2"/>
  <c r="C28" i="2"/>
  <c r="C31" i="2"/>
  <c r="C33" i="6" l="1"/>
  <c r="C40" i="6"/>
  <c r="C43" i="6" s="1"/>
  <c r="C51" i="6" s="1"/>
  <c r="C54" i="6" s="1"/>
  <c r="G40" i="6"/>
  <c r="C32" i="7"/>
  <c r="G39" i="7" s="1"/>
  <c r="C35" i="7"/>
  <c r="C53" i="4"/>
  <c r="C55" i="4" s="1"/>
  <c r="C60" i="4"/>
  <c r="C64" i="4"/>
  <c r="C65" i="4" s="1"/>
  <c r="G39" i="4"/>
  <c r="C35" i="4"/>
  <c r="C14" i="2"/>
  <c r="C12" i="2"/>
  <c r="C2" i="2"/>
  <c r="C9" i="2"/>
  <c r="C47" i="2"/>
  <c r="C30" i="2"/>
  <c r="E18" i="3"/>
  <c r="C21" i="2"/>
  <c r="C11" i="2"/>
  <c r="G9" i="2"/>
  <c r="C17" i="2"/>
  <c r="C62" i="2"/>
  <c r="C61" i="2"/>
  <c r="C42" i="7" l="1"/>
  <c r="C50" i="7" s="1"/>
  <c r="I37" i="7"/>
  <c r="C37" i="7"/>
  <c r="I34" i="7"/>
  <c r="G41" i="7"/>
  <c r="I38" i="6"/>
  <c r="C39" i="2"/>
  <c r="C42" i="2" s="1"/>
  <c r="C50" i="2" s="1"/>
  <c r="C32" i="2"/>
  <c r="H34" i="2"/>
  <c r="H37" i="2"/>
  <c r="C65" i="6" l="1"/>
  <c r="C66" i="6" s="1"/>
  <c r="G42" i="6"/>
  <c r="C60" i="7"/>
  <c r="C53" i="7"/>
  <c r="C55" i="7" s="1"/>
  <c r="C64" i="7"/>
  <c r="C65" i="7" s="1"/>
  <c r="I35" i="6"/>
  <c r="C38" i="6"/>
  <c r="I37" i="4"/>
  <c r="C37" i="4"/>
  <c r="I34" i="4"/>
  <c r="C46" i="2"/>
  <c r="C41" i="2"/>
  <c r="C26" i="2"/>
  <c r="C24" i="2"/>
  <c r="C20" i="2"/>
  <c r="C47" i="1"/>
  <c r="C48" i="1" s="1"/>
  <c r="C50" i="1" s="1"/>
  <c r="C42" i="1"/>
  <c r="C25" i="1"/>
  <c r="C23" i="1"/>
  <c r="C30" i="1" s="1"/>
  <c r="C19" i="1"/>
  <c r="C16" i="1"/>
  <c r="C10" i="1"/>
  <c r="C8" i="1"/>
  <c r="C61" i="6" l="1"/>
  <c r="C56" i="6"/>
  <c r="C20" i="1"/>
  <c r="C58" i="2"/>
  <c r="C59" i="2" s="1"/>
  <c r="C49" i="2"/>
  <c r="C11" i="1"/>
  <c r="C13" i="1" s="1"/>
  <c r="C27" i="1"/>
  <c r="C29" i="1" s="1"/>
  <c r="C31" i="1" s="1"/>
  <c r="C34" i="1" l="1"/>
  <c r="C36" i="1" s="1"/>
  <c r="C40" i="1"/>
  <c r="C43" i="1" s="1"/>
  <c r="C51" i="1"/>
  <c r="C54" i="1" s="1"/>
  <c r="C56" i="1" s="1"/>
  <c r="I34" i="2" l="1"/>
  <c r="I37" i="2"/>
  <c r="C64" i="2" l="1"/>
  <c r="C65" i="2" s="1"/>
  <c r="C60" i="2"/>
  <c r="C53" i="2"/>
  <c r="C55" i="2" s="1"/>
</calcChain>
</file>

<file path=xl/sharedStrings.xml><?xml version="1.0" encoding="utf-8"?>
<sst xmlns="http://schemas.openxmlformats.org/spreadsheetml/2006/main" count="683" uniqueCount="140">
  <si>
    <t>Broiler Meat</t>
  </si>
  <si>
    <t>Avg, Wt</t>
  </si>
  <si>
    <t>Mort%</t>
  </si>
  <si>
    <t>Harvest Qty.</t>
  </si>
  <si>
    <t>Cycle Time</t>
  </si>
  <si>
    <t>No. of Cycles</t>
  </si>
  <si>
    <t>Cycle Qty.</t>
  </si>
  <si>
    <t>Farm Capacity</t>
  </si>
  <si>
    <t>No. of Farms</t>
  </si>
  <si>
    <t>No. of Houses</t>
  </si>
  <si>
    <t>House Area</t>
  </si>
  <si>
    <t>Density</t>
  </si>
  <si>
    <t>Market</t>
  </si>
  <si>
    <t xml:space="preserve">Placement </t>
  </si>
  <si>
    <t xml:space="preserve">Chicks </t>
  </si>
  <si>
    <t>Brreder Farm Capacity</t>
  </si>
  <si>
    <t>Rearing Dep</t>
  </si>
  <si>
    <t>H.H</t>
  </si>
  <si>
    <t>H.E/H.H</t>
  </si>
  <si>
    <t>Chick/H.H</t>
  </si>
  <si>
    <t>Hatch%</t>
  </si>
  <si>
    <t>Farm Chicks Production / Cycle</t>
  </si>
  <si>
    <t>Farm Chicks Production / Year</t>
  </si>
  <si>
    <t>Farm H.E Production / Year</t>
  </si>
  <si>
    <t>Setter Capacity</t>
  </si>
  <si>
    <t>Setter Cycle Time</t>
  </si>
  <si>
    <t>H. E Production</t>
  </si>
  <si>
    <t>Utilization</t>
  </si>
  <si>
    <t>No. of Setters</t>
  </si>
  <si>
    <t>PS Placement</t>
  </si>
  <si>
    <t>PS Production</t>
  </si>
  <si>
    <t>PS/H.H</t>
  </si>
  <si>
    <t>GP Farm Capacity</t>
  </si>
  <si>
    <t>Rearing Mort%</t>
  </si>
  <si>
    <t>G.P H.H</t>
  </si>
  <si>
    <t>Farm PS Production / Cycle</t>
  </si>
  <si>
    <t>Farm Lead Time</t>
  </si>
  <si>
    <t>Farm PS Production / Year</t>
  </si>
  <si>
    <t>Input</t>
  </si>
  <si>
    <t>Fixed</t>
  </si>
  <si>
    <t>Broiler Layer</t>
  </si>
  <si>
    <t>Formulal</t>
  </si>
  <si>
    <t>Type</t>
  </si>
  <si>
    <t>Broiler Avg, Wt</t>
  </si>
  <si>
    <t>SN</t>
  </si>
  <si>
    <t>Broiler Mort%</t>
  </si>
  <si>
    <t>Calculated</t>
  </si>
  <si>
    <t>(Broiler Meat*1000)/Broiler Avg, Wt/(1-Broiler Mort%)</t>
  </si>
  <si>
    <t>Broiler Cycle Time</t>
  </si>
  <si>
    <t>(365/Broiler Cycle Time)</t>
  </si>
  <si>
    <t>Broiler Cycle Qty.</t>
  </si>
  <si>
    <t>(Harvest Qty./No. of Cycles)</t>
  </si>
  <si>
    <t>Broiler Farm Capacity</t>
  </si>
  <si>
    <t>(Broiler Cycle Qty./Broiler Farm Capacity)</t>
  </si>
  <si>
    <t>Broiler No. of Farms</t>
  </si>
  <si>
    <t>Broiler No. of Houses</t>
  </si>
  <si>
    <t>Broiler House Area</t>
  </si>
  <si>
    <t>Broiler Density</t>
  </si>
  <si>
    <t>(Broiler Farm Capacity/Broiler No. of Houses/Broiler House Area)</t>
  </si>
  <si>
    <t>Parameter</t>
  </si>
  <si>
    <t>PS Market</t>
  </si>
  <si>
    <t xml:space="preserve">PS Placement </t>
  </si>
  <si>
    <t>(1-PS Market)</t>
  </si>
  <si>
    <t>(1-Rearing Dep)*(Brreder Farm Capacity)</t>
  </si>
  <si>
    <t>PS Cycle Time</t>
  </si>
  <si>
    <t>Farm Chicks Production Per Cycle</t>
  </si>
  <si>
    <t>Farm Chicks Production Per Year</t>
  </si>
  <si>
    <t>((Farm Chicks Production Per Cycle)/PS Cycle Time)*52)</t>
  </si>
  <si>
    <t>PS No. of Farms</t>
  </si>
  <si>
    <t>PS Setter Capacity</t>
  </si>
  <si>
    <t>PS Setter Cycle Time</t>
  </si>
  <si>
    <t>PS H. E Production</t>
  </si>
  <si>
    <t>PS hatch Utilization</t>
  </si>
  <si>
    <t>PS hatch No. of Setters</t>
  </si>
  <si>
    <t>H.E Per H.H</t>
  </si>
  <si>
    <t>((H.H*H.E Per H.H)/PS Cycle Time*52)</t>
  </si>
  <si>
    <t>Chick Per H.H</t>
  </si>
  <si>
    <t>(H.H*Chick Per H.H)</t>
  </si>
  <si>
    <t>Farm H.E Production Per Year</t>
  </si>
  <si>
    <t>(Farm H.E Production Per Year*PS No. of Farms)</t>
  </si>
  <si>
    <t>((PS H. E Production/PS hatch Utilization)/(PS Setter Capacity*365/PS Setter Cycle Time))</t>
  </si>
  <si>
    <t>PS Placement(chicks)</t>
  </si>
  <si>
    <t>(Brreder Farm Capacity*PS No. of Farms)</t>
  </si>
  <si>
    <t>Broiler Market</t>
  </si>
  <si>
    <t>Broiler Placement</t>
  </si>
  <si>
    <t>(1-Broiler Market)</t>
  </si>
  <si>
    <t>(Harvest Qty./Broiler Placement)</t>
  </si>
  <si>
    <t xml:space="preserve">Broiler Chicks </t>
  </si>
  <si>
    <t>(Broiler Chicks /Farm Chicks Production Per Year)</t>
  </si>
  <si>
    <t>(PS Placement(chicks)/PS Placement )</t>
  </si>
  <si>
    <t>(GP Farm Capacity*(1-Rearing Mort%)</t>
  </si>
  <si>
    <t>PS Per H.H</t>
  </si>
  <si>
    <t>(PS Per H.H*G.P H.H)</t>
  </si>
  <si>
    <t>Farm PS Production Per Cycle</t>
  </si>
  <si>
    <t>(Farm PS Production Per Cycle/Farm Lead Time*52)</t>
  </si>
  <si>
    <t>GP No. of Farms</t>
  </si>
  <si>
    <t>Farm PS Production Per Year</t>
  </si>
  <si>
    <t>(PS Production/Farm PS Production Per Year)</t>
  </si>
  <si>
    <t>GP H. E Production</t>
  </si>
  <si>
    <t>(Farm PS Production Per Year*GP No. of Farms)</t>
  </si>
  <si>
    <t>GP hatch Utilization</t>
  </si>
  <si>
    <t>GP Setter Capacity</t>
  </si>
  <si>
    <t>GP Setter Cycle Time</t>
  </si>
  <si>
    <t>GP Layer</t>
  </si>
  <si>
    <t>Breeder Layer</t>
  </si>
  <si>
    <t>GP No. of Setters</t>
  </si>
  <si>
    <t>Result</t>
  </si>
  <si>
    <t>Target(Input)</t>
  </si>
  <si>
    <t>H.E/H.H  (F.L)</t>
  </si>
  <si>
    <t>H.E/H.H  (M.L)</t>
  </si>
  <si>
    <t>Farm H.E Production /Year</t>
  </si>
  <si>
    <t>H.E Prodution / Year</t>
  </si>
  <si>
    <t>((GP H. E Production/GP hatch Utilization)/(GP Setter Capacity*365/GP Setter Cycle Time)</t>
  </si>
  <si>
    <t>to be calculated</t>
  </si>
  <si>
    <t>to be input</t>
  </si>
  <si>
    <t>((H.E Per H.H)*(Hatch%))</t>
  </si>
  <si>
    <t>New Hatchery Capacity</t>
  </si>
  <si>
    <t>New Utalization</t>
  </si>
  <si>
    <t>Chicks/H.H M.L</t>
  </si>
  <si>
    <t>Farm H.E Production Per Cycle</t>
  </si>
  <si>
    <t>Chicks Per H.H F.L</t>
  </si>
  <si>
    <t>Male Per H.H</t>
  </si>
  <si>
    <t>Total Sexing Off Per Cycle</t>
  </si>
  <si>
    <t>Sexing Off Per Year</t>
  </si>
  <si>
    <t>NEW</t>
  </si>
  <si>
    <t>Broiler Placement (chicks)</t>
  </si>
  <si>
    <t xml:space="preserve">Rearing </t>
  </si>
  <si>
    <t>Produc</t>
  </si>
  <si>
    <t>num_cycles = 365 / cycle_time</t>
  </si>
  <si>
    <t>cycle_qty = farm_capacity * broiler_farms</t>
  </si>
  <si>
    <t>harvest_qty = cycle_qty * num_cycles * (1 - mort)</t>
  </si>
  <si>
    <t>annual_broiler_meat = (harvest_qty * avg_wt) / 1000</t>
  </si>
  <si>
    <t>broiler cycle qty</t>
  </si>
  <si>
    <t>harvest qty</t>
  </si>
  <si>
    <t>['GP H.E Production', self.format_value(scenario_values['gp']["gp_he_production"])],</t>
  </si>
  <si>
    <t>PS  Rearing No. of Farms</t>
  </si>
  <si>
    <t>PS  Production No. of Farms</t>
  </si>
  <si>
    <t>PS   No. of Farms</t>
  </si>
  <si>
    <t>PS Placement(chicks) - Year</t>
  </si>
  <si>
    <t>Broiler Avg weight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</si>
</sst>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k_r_-;\-* #,##0.00\ _k_r_-;_-* &quot;-&quot;??\ _k_r_-;_-@_-"/>
    <numFmt numFmtId="165" formatCode="_-* #,##0\ _k_r_-;\-* #,##0\ _k_r_-;_-* &quot;-&quot;??\ _k_r_-;_-@_-"/>
    <numFmt numFmtId="166" formatCode="_(* #,##0_);_(* \(#,##0\);_(* &quot;-&quot;??_);_(@_)"/>
    <numFmt numFmtId="167" formatCode="0.0"/>
    <numFmt numFmtId="168" formatCode="_(* #,##0.0000000_);_(* \(#,##0.0000000\);_(* &quot;-&quot;??_);_(@_)"/>
    <numFmt numFmtId="173" formatCode="0.000"/>
  </numFmts>
  <fonts count="3" x14ac:knownFonts="1">
    <font>
      <sz val="10"/>
      <name val="Arial"/>
      <family val="2"/>
    </font>
    <font>
      <sz val="10"/>
      <name val="Arial"/>
      <family val="2"/>
    </font>
    <font>
      <sz val="7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0"/>
    <xf numFmtId="164" fontId="1" fillId="0" borderId="0" applyAlignment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2" borderId="0" xfId="0" applyFill="1" applyAlignment="1"/>
    <xf numFmtId="165" fontId="1" fillId="0" borderId="0" xfId="1" applyNumberFormat="1" applyAlignment="1"/>
    <xf numFmtId="43" fontId="0" fillId="0" borderId="0" xfId="0" applyNumberFormat="1" applyAlignment="1"/>
    <xf numFmtId="165" fontId="0" fillId="0" borderId="0" xfId="0" applyNumberFormat="1" applyAlignment="1"/>
    <xf numFmtId="0" fontId="0" fillId="3" borderId="0" xfId="0" applyFill="1" applyAlignment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quotePrefix="1" applyAlignment="1">
      <alignment horizontal="center"/>
    </xf>
    <xf numFmtId="166" fontId="0" fillId="0" borderId="0" xfId="0" applyNumberFormat="1" applyAlignment="1"/>
    <xf numFmtId="165" fontId="1" fillId="0" borderId="0" xfId="1" applyNumberFormat="1"/>
    <xf numFmtId="0" fontId="0" fillId="0" borderId="0" xfId="0" applyAlignment="1">
      <alignment horizontal="right"/>
    </xf>
    <xf numFmtId="164" fontId="1" fillId="0" borderId="0" xfId="1"/>
    <xf numFmtId="9" fontId="0" fillId="0" borderId="0" xfId="2" applyFont="1" applyAlignment="1">
      <alignment horizontal="center" vertical="center"/>
    </xf>
    <xf numFmtId="43" fontId="0" fillId="0" borderId="0" xfId="0" applyNumberFormat="1"/>
    <xf numFmtId="10" fontId="0" fillId="0" borderId="0" xfId="2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/>
    <xf numFmtId="165" fontId="1" fillId="0" borderId="0" xfId="1" applyNumberFormat="1" applyAlignment="1">
      <alignment horizontal="right" vertical="center"/>
    </xf>
    <xf numFmtId="165" fontId="1" fillId="0" borderId="0" xfId="1" applyNumberFormat="1" applyAlignment="1">
      <alignment horizontal="right"/>
    </xf>
    <xf numFmtId="0" fontId="0" fillId="2" borderId="0" xfId="0" applyFill="1"/>
    <xf numFmtId="0" fontId="0" fillId="5" borderId="0" xfId="0" quotePrefix="1" applyFill="1" applyAlignment="1">
      <alignment horizontal="center"/>
    </xf>
    <xf numFmtId="165" fontId="1" fillId="5" borderId="0" xfId="1" applyNumberFormat="1" applyFill="1" applyAlignment="1"/>
    <xf numFmtId="4" fontId="0" fillId="0" borderId="0" xfId="0" applyNumberFormat="1"/>
    <xf numFmtId="167" fontId="0" fillId="0" borderId="0" xfId="0" applyNumberFormat="1" applyAlignment="1">
      <alignment horizontal="center" vertical="center"/>
    </xf>
    <xf numFmtId="165" fontId="0" fillId="5" borderId="0" xfId="0" applyNumberFormat="1" applyFill="1" applyAlignment="1"/>
    <xf numFmtId="0" fontId="0" fillId="3" borderId="0" xfId="0" applyFill="1" applyAlignment="1">
      <alignment horizontal="right"/>
    </xf>
    <xf numFmtId="43" fontId="0" fillId="3" borderId="0" xfId="0" applyNumberFormat="1" applyFill="1" applyAlignment="1"/>
    <xf numFmtId="43" fontId="0" fillId="2" borderId="0" xfId="0" applyNumberFormat="1" applyFill="1" applyAlignment="1"/>
    <xf numFmtId="165" fontId="1" fillId="3" borderId="0" xfId="1" applyNumberFormat="1" applyFill="1" applyAlignment="1"/>
    <xf numFmtId="165" fontId="0" fillId="3" borderId="0" xfId="0" applyNumberFormat="1" applyFill="1" applyAlignment="1"/>
    <xf numFmtId="2" fontId="0" fillId="2" borderId="0" xfId="0" applyNumberFormat="1" applyFill="1" applyAlignment="1"/>
    <xf numFmtId="0" fontId="0" fillId="3" borderId="0" xfId="0" applyFill="1"/>
    <xf numFmtId="164" fontId="1" fillId="0" borderId="0" xfId="1" applyAlignment="1"/>
    <xf numFmtId="164" fontId="1" fillId="3" borderId="0" xfId="1" applyFill="1" applyAlignment="1"/>
    <xf numFmtId="3" fontId="0" fillId="3" borderId="0" xfId="0" applyNumberFormat="1" applyFill="1" applyAlignment="1"/>
    <xf numFmtId="168" fontId="0" fillId="2" borderId="0" xfId="0" applyNumberFormat="1" applyFill="1" applyAlignment="1"/>
    <xf numFmtId="0" fontId="2" fillId="0" borderId="0" xfId="0" applyFont="1" applyAlignment="1">
      <alignment vertical="center"/>
    </xf>
    <xf numFmtId="0" fontId="0" fillId="4" borderId="0" xfId="0" applyFill="1" applyAlignment="1">
      <alignment horizontal="center" vertical="center"/>
    </xf>
    <xf numFmtId="9" fontId="0" fillId="3" borderId="0" xfId="2" applyFont="1" applyFill="1" applyAlignment="1">
      <alignment horizontal="center" vertical="center"/>
    </xf>
    <xf numFmtId="173" fontId="0" fillId="3" borderId="0" xfId="0" applyNumberFormat="1" applyFill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56"/>
  <sheetViews>
    <sheetView workbookViewId="0">
      <selection activeCell="A56" sqref="A5:C56"/>
    </sheetView>
  </sheetViews>
  <sheetFormatPr defaultColWidth="8.88671875" defaultRowHeight="13.2" x14ac:dyDescent="0.25"/>
  <cols>
    <col min="1" max="1" width="8.88671875" style="2"/>
    <col min="2" max="2" width="27.44140625" style="2" bestFit="1" customWidth="1"/>
    <col min="3" max="3" width="14.109375" style="2" bestFit="1" customWidth="1"/>
    <col min="4" max="16384" width="8.88671875" style="2"/>
  </cols>
  <sheetData>
    <row r="5" spans="1:3" x14ac:dyDescent="0.25">
      <c r="A5" s="2">
        <v>1</v>
      </c>
      <c r="B5" s="1" t="s">
        <v>0</v>
      </c>
      <c r="C5" s="7">
        <v>50000</v>
      </c>
    </row>
    <row r="6" spans="1:3" x14ac:dyDescent="0.25">
      <c r="A6" s="2">
        <v>2</v>
      </c>
      <c r="B6" s="1" t="s">
        <v>1</v>
      </c>
      <c r="C6" s="3">
        <v>1.8</v>
      </c>
    </row>
    <row r="7" spans="1:3" x14ac:dyDescent="0.25">
      <c r="A7" s="2">
        <v>3</v>
      </c>
      <c r="B7" s="1" t="s">
        <v>2</v>
      </c>
      <c r="C7" s="3">
        <v>0.08</v>
      </c>
    </row>
    <row r="8" spans="1:3" x14ac:dyDescent="0.25">
      <c r="A8" s="2">
        <v>4</v>
      </c>
      <c r="B8" s="1" t="s">
        <v>3</v>
      </c>
      <c r="C8" s="4">
        <f>C5*1000/C6/(1-C7)</f>
        <v>30193236.714975841</v>
      </c>
    </row>
    <row r="9" spans="1:3" x14ac:dyDescent="0.25">
      <c r="A9" s="2">
        <v>5</v>
      </c>
      <c r="B9" s="1" t="s">
        <v>4</v>
      </c>
      <c r="C9" s="2">
        <v>60</v>
      </c>
    </row>
    <row r="10" spans="1:3" x14ac:dyDescent="0.25">
      <c r="A10" s="2">
        <v>6</v>
      </c>
      <c r="B10" s="1" t="s">
        <v>5</v>
      </c>
      <c r="C10" s="5">
        <f>365/C9</f>
        <v>6.083333333333333</v>
      </c>
    </row>
    <row r="11" spans="1:3" x14ac:dyDescent="0.25">
      <c r="A11" s="2">
        <v>7</v>
      </c>
      <c r="B11" s="1" t="s">
        <v>6</v>
      </c>
      <c r="C11" s="4">
        <f>C8/C10</f>
        <v>4963271.7887631524</v>
      </c>
    </row>
    <row r="12" spans="1:3" x14ac:dyDescent="0.25">
      <c r="A12" s="2">
        <v>8</v>
      </c>
      <c r="B12" s="1" t="s">
        <v>7</v>
      </c>
      <c r="C12" s="3">
        <v>350000</v>
      </c>
    </row>
    <row r="13" spans="1:3" x14ac:dyDescent="0.25">
      <c r="A13" s="2">
        <v>9</v>
      </c>
      <c r="B13" s="1" t="s">
        <v>8</v>
      </c>
      <c r="C13" s="5">
        <f>C11/C12</f>
        <v>14.180776539323293</v>
      </c>
    </row>
    <row r="14" spans="1:3" x14ac:dyDescent="0.25">
      <c r="A14" s="2">
        <v>10</v>
      </c>
      <c r="B14" s="1" t="s">
        <v>9</v>
      </c>
      <c r="C14" s="3">
        <v>12</v>
      </c>
    </row>
    <row r="15" spans="1:3" x14ac:dyDescent="0.25">
      <c r="A15" s="2">
        <v>11</v>
      </c>
      <c r="B15" s="1" t="s">
        <v>10</v>
      </c>
      <c r="C15" s="3">
        <v>1680</v>
      </c>
    </row>
    <row r="16" spans="1:3" x14ac:dyDescent="0.25">
      <c r="A16" s="2">
        <v>12</v>
      </c>
      <c r="B16" s="1" t="s">
        <v>11</v>
      </c>
      <c r="C16" s="2">
        <f>C12/C14/C15</f>
        <v>17.361111111111111</v>
      </c>
    </row>
    <row r="18" spans="1:3" x14ac:dyDescent="0.25">
      <c r="A18" s="2">
        <v>13</v>
      </c>
      <c r="B18" s="1" t="s">
        <v>12</v>
      </c>
      <c r="C18" s="3">
        <v>0.5</v>
      </c>
    </row>
    <row r="19" spans="1:3" x14ac:dyDescent="0.25">
      <c r="A19" s="2">
        <v>14</v>
      </c>
      <c r="B19" s="1" t="s">
        <v>13</v>
      </c>
      <c r="C19" s="1">
        <f>1-C18</f>
        <v>0.5</v>
      </c>
    </row>
    <row r="20" spans="1:3" x14ac:dyDescent="0.25">
      <c r="A20" s="2">
        <v>15</v>
      </c>
      <c r="B20" s="1" t="s">
        <v>14</v>
      </c>
      <c r="C20" s="5">
        <f>C8/C19</f>
        <v>60386473.429951683</v>
      </c>
    </row>
    <row r="21" spans="1:3" x14ac:dyDescent="0.25">
      <c r="A21" s="2">
        <v>16</v>
      </c>
      <c r="B21" s="1" t="s">
        <v>15</v>
      </c>
      <c r="C21" s="3">
        <v>60000</v>
      </c>
    </row>
    <row r="22" spans="1:3" x14ac:dyDescent="0.25">
      <c r="A22" s="2">
        <v>17</v>
      </c>
      <c r="B22" s="1" t="s">
        <v>16</v>
      </c>
      <c r="C22" s="3">
        <v>0.06</v>
      </c>
    </row>
    <row r="23" spans="1:3" x14ac:dyDescent="0.25">
      <c r="A23" s="2">
        <v>18</v>
      </c>
      <c r="B23" s="1" t="s">
        <v>17</v>
      </c>
      <c r="C23" s="2">
        <f>(1-C22)*C21</f>
        <v>56400</v>
      </c>
    </row>
    <row r="24" spans="1:3" x14ac:dyDescent="0.25">
      <c r="A24" s="2">
        <v>19</v>
      </c>
      <c r="B24" s="1" t="s">
        <v>18</v>
      </c>
      <c r="C24" s="3">
        <v>180</v>
      </c>
    </row>
    <row r="25" spans="1:3" x14ac:dyDescent="0.25">
      <c r="A25" s="2">
        <v>20</v>
      </c>
      <c r="B25" s="1" t="s">
        <v>19</v>
      </c>
      <c r="C25" s="3">
        <f>C24*C26</f>
        <v>144</v>
      </c>
    </row>
    <row r="26" spans="1:3" x14ac:dyDescent="0.25">
      <c r="A26" s="2">
        <v>21</v>
      </c>
      <c r="B26" s="1" t="s">
        <v>20</v>
      </c>
      <c r="C26" s="3">
        <v>0.8</v>
      </c>
    </row>
    <row r="27" spans="1:3" x14ac:dyDescent="0.25">
      <c r="A27" s="2">
        <v>22</v>
      </c>
      <c r="B27" s="1" t="s">
        <v>21</v>
      </c>
      <c r="C27" s="4">
        <f>C23*C25</f>
        <v>8121600</v>
      </c>
    </row>
    <row r="28" spans="1:3" x14ac:dyDescent="0.25">
      <c r="A28" s="2">
        <v>23</v>
      </c>
      <c r="B28" s="1" t="s">
        <v>4</v>
      </c>
      <c r="C28" s="3">
        <v>78</v>
      </c>
    </row>
    <row r="29" spans="1:3" x14ac:dyDescent="0.25">
      <c r="A29" s="2">
        <v>24</v>
      </c>
      <c r="B29" s="1" t="s">
        <v>22</v>
      </c>
      <c r="C29" s="6">
        <f>C27/C28*52</f>
        <v>5414400</v>
      </c>
    </row>
    <row r="30" spans="1:3" x14ac:dyDescent="0.25">
      <c r="A30" s="2">
        <v>25</v>
      </c>
      <c r="B30" s="1" t="s">
        <v>23</v>
      </c>
      <c r="C30" s="6">
        <f>C23*C24/C28*52</f>
        <v>6768000</v>
      </c>
    </row>
    <row r="31" spans="1:3" x14ac:dyDescent="0.25">
      <c r="A31" s="2">
        <v>26</v>
      </c>
      <c r="B31" s="1" t="s">
        <v>8</v>
      </c>
      <c r="C31" s="2">
        <f>_xlfn.FLOOR.MATH(C20/C29)</f>
        <v>11</v>
      </c>
    </row>
    <row r="32" spans="1:3" x14ac:dyDescent="0.25">
      <c r="A32" s="2">
        <v>27</v>
      </c>
      <c r="B32" s="1" t="s">
        <v>24</v>
      </c>
      <c r="C32" s="3">
        <v>115200</v>
      </c>
    </row>
    <row r="33" spans="1:3" x14ac:dyDescent="0.25">
      <c r="A33" s="2">
        <v>28</v>
      </c>
      <c r="B33" s="1" t="s">
        <v>25</v>
      </c>
      <c r="C33" s="2">
        <v>19</v>
      </c>
    </row>
    <row r="34" spans="1:3" x14ac:dyDescent="0.25">
      <c r="A34" s="2">
        <v>29</v>
      </c>
      <c r="B34" s="1" t="s">
        <v>26</v>
      </c>
      <c r="C34" s="6">
        <f>C31*C30</f>
        <v>74448000</v>
      </c>
    </row>
    <row r="35" spans="1:3" x14ac:dyDescent="0.25">
      <c r="A35" s="2">
        <v>30</v>
      </c>
      <c r="B35" s="1" t="s">
        <v>27</v>
      </c>
      <c r="C35" s="3">
        <v>0.8</v>
      </c>
    </row>
    <row r="36" spans="1:3" x14ac:dyDescent="0.25">
      <c r="A36" s="2">
        <v>31</v>
      </c>
      <c r="B36" s="1" t="s">
        <v>28</v>
      </c>
      <c r="C36" s="5">
        <f>C34/C35/(C32*365/C33)</f>
        <v>42.050513698630134</v>
      </c>
    </row>
    <row r="37" spans="1:3" x14ac:dyDescent="0.25">
      <c r="B37" s="1"/>
    </row>
    <row r="40" spans="1:3" x14ac:dyDescent="0.25">
      <c r="A40" s="2">
        <v>35</v>
      </c>
      <c r="B40" s="1" t="s">
        <v>29</v>
      </c>
      <c r="C40" s="2">
        <f>C21*C31</f>
        <v>660000</v>
      </c>
    </row>
    <row r="41" spans="1:3" x14ac:dyDescent="0.25">
      <c r="A41" s="2">
        <v>36</v>
      </c>
      <c r="B41" s="1" t="s">
        <v>12</v>
      </c>
      <c r="C41" s="3">
        <v>0.5</v>
      </c>
    </row>
    <row r="42" spans="1:3" x14ac:dyDescent="0.25">
      <c r="A42" s="2">
        <v>37</v>
      </c>
      <c r="B42" s="1" t="s">
        <v>13</v>
      </c>
      <c r="C42" s="1">
        <f>1-C41</f>
        <v>0.5</v>
      </c>
    </row>
    <row r="43" spans="1:3" x14ac:dyDescent="0.25">
      <c r="A43" s="2">
        <v>38</v>
      </c>
      <c r="B43" s="1" t="s">
        <v>30</v>
      </c>
      <c r="C43" s="2">
        <f>C40/C42</f>
        <v>1320000</v>
      </c>
    </row>
    <row r="44" spans="1:3" x14ac:dyDescent="0.25">
      <c r="A44" s="2">
        <v>39</v>
      </c>
      <c r="B44" s="1" t="s">
        <v>31</v>
      </c>
      <c r="C44" s="3">
        <v>50</v>
      </c>
    </row>
    <row r="45" spans="1:3" x14ac:dyDescent="0.25">
      <c r="A45" s="2">
        <v>40</v>
      </c>
      <c r="B45" s="1" t="s">
        <v>32</v>
      </c>
      <c r="C45" s="3">
        <v>15000</v>
      </c>
    </row>
    <row r="46" spans="1:3" x14ac:dyDescent="0.25">
      <c r="A46" s="2">
        <v>41</v>
      </c>
      <c r="B46" s="1" t="s">
        <v>33</v>
      </c>
      <c r="C46" s="3">
        <v>0.08</v>
      </c>
    </row>
    <row r="47" spans="1:3" x14ac:dyDescent="0.25">
      <c r="A47" s="2">
        <v>42</v>
      </c>
      <c r="B47" s="1" t="s">
        <v>34</v>
      </c>
      <c r="C47" s="2">
        <f>C45*(1-C46)</f>
        <v>13800</v>
      </c>
    </row>
    <row r="48" spans="1:3" x14ac:dyDescent="0.25">
      <c r="A48" s="2">
        <v>43</v>
      </c>
      <c r="B48" s="1" t="s">
        <v>35</v>
      </c>
      <c r="C48" s="2">
        <f>C47*C44</f>
        <v>690000</v>
      </c>
    </row>
    <row r="49" spans="1:3" x14ac:dyDescent="0.25">
      <c r="A49" s="2">
        <v>44</v>
      </c>
      <c r="B49" s="1" t="s">
        <v>36</v>
      </c>
      <c r="C49" s="3">
        <v>78</v>
      </c>
    </row>
    <row r="50" spans="1:3" x14ac:dyDescent="0.25">
      <c r="A50" s="2">
        <v>45</v>
      </c>
      <c r="B50" s="1" t="s">
        <v>37</v>
      </c>
      <c r="C50" s="2">
        <f>C48/C49*52</f>
        <v>460000</v>
      </c>
    </row>
    <row r="51" spans="1:3" x14ac:dyDescent="0.25">
      <c r="A51" s="2">
        <v>46</v>
      </c>
      <c r="B51" s="1" t="s">
        <v>8</v>
      </c>
      <c r="C51" s="2">
        <f>ROUND(C43/C50,0)</f>
        <v>3</v>
      </c>
    </row>
    <row r="52" spans="1:3" x14ac:dyDescent="0.25">
      <c r="A52" s="2">
        <v>47</v>
      </c>
      <c r="B52" s="1" t="s">
        <v>24</v>
      </c>
      <c r="C52" s="3">
        <v>115200</v>
      </c>
    </row>
    <row r="53" spans="1:3" x14ac:dyDescent="0.25">
      <c r="A53" s="2">
        <v>48</v>
      </c>
      <c r="B53" s="1" t="s">
        <v>25</v>
      </c>
      <c r="C53" s="2">
        <v>19</v>
      </c>
    </row>
    <row r="54" spans="1:3" x14ac:dyDescent="0.25">
      <c r="A54" s="2">
        <v>49</v>
      </c>
      <c r="B54" s="1" t="s">
        <v>26</v>
      </c>
      <c r="C54" s="6">
        <f>C51*C50</f>
        <v>1380000</v>
      </c>
    </row>
    <row r="55" spans="1:3" x14ac:dyDescent="0.25">
      <c r="A55" s="2">
        <v>50</v>
      </c>
      <c r="B55" s="1" t="s">
        <v>27</v>
      </c>
      <c r="C55" s="3">
        <v>0.8</v>
      </c>
    </row>
    <row r="56" spans="1:3" x14ac:dyDescent="0.25">
      <c r="A56" s="2">
        <v>51</v>
      </c>
      <c r="B56" s="1" t="s">
        <v>28</v>
      </c>
      <c r="C56" s="5">
        <f>C54/C55/(C52*365/C53)</f>
        <v>0.77946632420091322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66"/>
  <sheetViews>
    <sheetView workbookViewId="0">
      <selection activeCell="A13" sqref="A1:XFD1048576"/>
    </sheetView>
  </sheetViews>
  <sheetFormatPr defaultRowHeight="13.2" x14ac:dyDescent="0.25"/>
  <cols>
    <col min="1" max="1" width="9.109375" style="11"/>
    <col min="2" max="2" width="30.44140625" bestFit="1" customWidth="1"/>
    <col min="3" max="3" width="15.109375" bestFit="1" customWidth="1"/>
    <col min="4" max="4" width="78.88671875" style="10" bestFit="1" customWidth="1"/>
    <col min="5" max="5" width="10.88671875" customWidth="1"/>
    <col min="7" max="7" width="16.21875" bestFit="1" customWidth="1"/>
    <col min="8" max="8" width="20.6640625" bestFit="1" customWidth="1"/>
    <col min="9" max="9" width="14" bestFit="1" customWidth="1"/>
  </cols>
  <sheetData>
    <row r="2" spans="1:9" x14ac:dyDescent="0.25">
      <c r="A2" s="11" t="s">
        <v>124</v>
      </c>
      <c r="B2" t="s">
        <v>125</v>
      </c>
      <c r="C2" s="19">
        <f>C9/(1-C8)</f>
        <v>30193236.714975841</v>
      </c>
    </row>
    <row r="4" spans="1:9" x14ac:dyDescent="0.25">
      <c r="A4" s="12" t="s">
        <v>44</v>
      </c>
      <c r="B4" s="8" t="s">
        <v>59</v>
      </c>
      <c r="C4" s="8"/>
      <c r="D4" s="9" t="s">
        <v>41</v>
      </c>
      <c r="E4" s="12" t="s">
        <v>42</v>
      </c>
    </row>
    <row r="5" spans="1:9" x14ac:dyDescent="0.25">
      <c r="A5" s="43" t="s">
        <v>40</v>
      </c>
      <c r="B5" s="43"/>
      <c r="C5" s="43"/>
      <c r="D5" s="43"/>
      <c r="E5" s="43"/>
    </row>
    <row r="6" spans="1:9" x14ac:dyDescent="0.25">
      <c r="A6" s="11">
        <v>1</v>
      </c>
      <c r="B6" s="1" t="s">
        <v>0</v>
      </c>
      <c r="C6" s="7">
        <v>50000</v>
      </c>
      <c r="E6" s="10" t="s">
        <v>107</v>
      </c>
    </row>
    <row r="7" spans="1:9" x14ac:dyDescent="0.25">
      <c r="A7" s="11">
        <v>2</v>
      </c>
      <c r="B7" s="1" t="s">
        <v>43</v>
      </c>
      <c r="C7" s="3">
        <v>1.8</v>
      </c>
      <c r="E7" s="10" t="s">
        <v>38</v>
      </c>
      <c r="F7" s="25"/>
    </row>
    <row r="8" spans="1:9" x14ac:dyDescent="0.25">
      <c r="A8" s="11">
        <v>3</v>
      </c>
      <c r="B8" s="1" t="s">
        <v>45</v>
      </c>
      <c r="C8" s="3">
        <v>0.08</v>
      </c>
      <c r="E8" s="10" t="s">
        <v>38</v>
      </c>
      <c r="F8" s="25"/>
      <c r="H8" s="17"/>
    </row>
    <row r="9" spans="1:9" x14ac:dyDescent="0.25">
      <c r="A9" s="11">
        <v>4</v>
      </c>
      <c r="B9" s="1" t="s">
        <v>3</v>
      </c>
      <c r="C9" s="27">
        <f>C6*1000/C7</f>
        <v>27777777.777777776</v>
      </c>
      <c r="D9" s="13" t="s">
        <v>47</v>
      </c>
      <c r="E9" s="10" t="s">
        <v>46</v>
      </c>
      <c r="F9" s="25"/>
      <c r="G9" s="17">
        <f>C6*1000/C7</f>
        <v>27777777.777777776</v>
      </c>
    </row>
    <row r="10" spans="1:9" x14ac:dyDescent="0.25">
      <c r="A10" s="11">
        <v>5</v>
      </c>
      <c r="B10" s="2" t="s">
        <v>48</v>
      </c>
      <c r="C10" s="16">
        <v>60</v>
      </c>
      <c r="E10" s="10" t="s">
        <v>39</v>
      </c>
      <c r="F10" s="25" t="s">
        <v>114</v>
      </c>
      <c r="G10" s="19"/>
      <c r="H10" s="19"/>
      <c r="I10" s="19"/>
    </row>
    <row r="11" spans="1:9" x14ac:dyDescent="0.25">
      <c r="A11" s="11">
        <v>6</v>
      </c>
      <c r="B11" s="1" t="s">
        <v>5</v>
      </c>
      <c r="C11" s="5">
        <f>365/C10</f>
        <v>6.083333333333333</v>
      </c>
      <c r="D11" s="13" t="s">
        <v>49</v>
      </c>
      <c r="E11" s="10" t="s">
        <v>46</v>
      </c>
      <c r="F11" s="25"/>
    </row>
    <row r="12" spans="1:9" x14ac:dyDescent="0.25">
      <c r="A12" s="11">
        <v>7</v>
      </c>
      <c r="B12" s="1" t="s">
        <v>50</v>
      </c>
      <c r="C12" s="4">
        <f>C9/C11</f>
        <v>4566210.0456621004</v>
      </c>
      <c r="D12" s="13" t="s">
        <v>51</v>
      </c>
      <c r="E12" s="10" t="s">
        <v>46</v>
      </c>
      <c r="F12" s="25"/>
    </row>
    <row r="13" spans="1:9" x14ac:dyDescent="0.25">
      <c r="A13" s="11">
        <v>8</v>
      </c>
      <c r="B13" s="2" t="s">
        <v>52</v>
      </c>
      <c r="C13" s="3">
        <v>350000</v>
      </c>
      <c r="E13" s="10" t="s">
        <v>38</v>
      </c>
      <c r="F13" s="25"/>
    </row>
    <row r="14" spans="1:9" x14ac:dyDescent="0.25">
      <c r="A14" s="11">
        <v>9</v>
      </c>
      <c r="B14" s="1" t="s">
        <v>54</v>
      </c>
      <c r="C14" s="5">
        <f>C12/C13</f>
        <v>13.046314416177429</v>
      </c>
      <c r="D14" s="13" t="s">
        <v>53</v>
      </c>
      <c r="E14" s="10" t="s">
        <v>106</v>
      </c>
      <c r="G14" s="19"/>
      <c r="H14" s="19"/>
    </row>
    <row r="15" spans="1:9" x14ac:dyDescent="0.25">
      <c r="A15" s="11">
        <v>10</v>
      </c>
      <c r="B15" s="1" t="s">
        <v>55</v>
      </c>
      <c r="C15" s="3">
        <v>12</v>
      </c>
      <c r="E15" s="10" t="s">
        <v>38</v>
      </c>
      <c r="F15" s="25"/>
    </row>
    <row r="16" spans="1:9" x14ac:dyDescent="0.25">
      <c r="A16" s="11">
        <v>11</v>
      </c>
      <c r="B16" s="1" t="s">
        <v>56</v>
      </c>
      <c r="C16" s="3">
        <v>1680</v>
      </c>
      <c r="E16" s="10" t="s">
        <v>38</v>
      </c>
      <c r="F16" s="25"/>
    </row>
    <row r="17" spans="1:9" x14ac:dyDescent="0.25">
      <c r="A17" s="11">
        <v>12</v>
      </c>
      <c r="B17" s="1" t="s">
        <v>57</v>
      </c>
      <c r="C17" s="2">
        <f>C13/C15/C16</f>
        <v>17.361111111111111</v>
      </c>
      <c r="D17" s="13" t="s">
        <v>58</v>
      </c>
      <c r="E17" s="10" t="s">
        <v>46</v>
      </c>
      <c r="F17" s="25"/>
    </row>
    <row r="18" spans="1:9" x14ac:dyDescent="0.25">
      <c r="A18" s="43" t="s">
        <v>104</v>
      </c>
      <c r="B18" s="43"/>
      <c r="C18" s="43"/>
      <c r="D18" s="43"/>
      <c r="E18" s="43"/>
    </row>
    <row r="19" spans="1:9" x14ac:dyDescent="0.25">
      <c r="A19" s="11">
        <v>13</v>
      </c>
      <c r="B19" s="1" t="s">
        <v>83</v>
      </c>
      <c r="C19" s="3">
        <v>0.5</v>
      </c>
      <c r="E19" s="10" t="s">
        <v>38</v>
      </c>
      <c r="H19" s="19" t="s">
        <v>126</v>
      </c>
      <c r="I19">
        <v>78</v>
      </c>
    </row>
    <row r="20" spans="1:9" x14ac:dyDescent="0.25">
      <c r="A20" s="11">
        <v>14</v>
      </c>
      <c r="B20" s="2" t="s">
        <v>84</v>
      </c>
      <c r="C20" s="1">
        <f>1-C19</f>
        <v>0.5</v>
      </c>
      <c r="D20" s="13" t="s">
        <v>85</v>
      </c>
      <c r="E20" s="10" t="s">
        <v>46</v>
      </c>
      <c r="H20" t="s">
        <v>127</v>
      </c>
    </row>
    <row r="21" spans="1:9" x14ac:dyDescent="0.25">
      <c r="A21" s="11">
        <v>15</v>
      </c>
      <c r="B21" s="2" t="s">
        <v>87</v>
      </c>
      <c r="C21" s="5">
        <f>((C2/C20))</f>
        <v>60386473.429951683</v>
      </c>
      <c r="D21" s="26" t="s">
        <v>86</v>
      </c>
      <c r="E21" s="10" t="s">
        <v>46</v>
      </c>
    </row>
    <row r="22" spans="1:9" x14ac:dyDescent="0.25">
      <c r="A22" s="11">
        <v>16</v>
      </c>
      <c r="B22" s="1" t="s">
        <v>15</v>
      </c>
      <c r="C22" s="3">
        <v>60000</v>
      </c>
      <c r="E22" s="10" t="s">
        <v>38</v>
      </c>
    </row>
    <row r="23" spans="1:9" x14ac:dyDescent="0.25">
      <c r="A23" s="11">
        <v>17</v>
      </c>
      <c r="B23" s="1" t="s">
        <v>16</v>
      </c>
      <c r="C23" s="3">
        <v>0.06</v>
      </c>
      <c r="E23" s="10" t="s">
        <v>38</v>
      </c>
    </row>
    <row r="24" spans="1:9" x14ac:dyDescent="0.25">
      <c r="A24" s="11">
        <v>18</v>
      </c>
      <c r="B24" s="1" t="s">
        <v>17</v>
      </c>
      <c r="C24" s="2">
        <f>(1-C23)*C22</f>
        <v>56400</v>
      </c>
      <c r="D24" s="13" t="s">
        <v>63</v>
      </c>
      <c r="E24" s="10" t="s">
        <v>46</v>
      </c>
    </row>
    <row r="25" spans="1:9" x14ac:dyDescent="0.25">
      <c r="A25" s="11">
        <v>19</v>
      </c>
      <c r="B25" s="2" t="s">
        <v>74</v>
      </c>
      <c r="C25" s="3">
        <v>180</v>
      </c>
      <c r="E25" s="10" t="s">
        <v>38</v>
      </c>
    </row>
    <row r="26" spans="1:9" x14ac:dyDescent="0.25">
      <c r="A26" s="11">
        <v>20</v>
      </c>
      <c r="B26" s="2" t="s">
        <v>76</v>
      </c>
      <c r="C26" s="3">
        <f>C25*C27</f>
        <v>144</v>
      </c>
      <c r="D26" s="13" t="s">
        <v>115</v>
      </c>
      <c r="E26" s="10" t="s">
        <v>38</v>
      </c>
      <c r="F26" t="s">
        <v>113</v>
      </c>
    </row>
    <row r="27" spans="1:9" x14ac:dyDescent="0.25">
      <c r="A27" s="11">
        <v>21</v>
      </c>
      <c r="B27" s="2" t="s">
        <v>20</v>
      </c>
      <c r="C27" s="3">
        <v>0.8</v>
      </c>
      <c r="E27" s="10" t="s">
        <v>38</v>
      </c>
    </row>
    <row r="28" spans="1:9" x14ac:dyDescent="0.25">
      <c r="A28" s="11">
        <v>22</v>
      </c>
      <c r="B28" s="1" t="s">
        <v>65</v>
      </c>
      <c r="C28" s="4">
        <f>C24*C26</f>
        <v>8121600</v>
      </c>
      <c r="D28" s="13" t="s">
        <v>77</v>
      </c>
      <c r="E28" s="10" t="s">
        <v>46</v>
      </c>
    </row>
    <row r="29" spans="1:9" x14ac:dyDescent="0.25">
      <c r="A29" s="11">
        <v>23</v>
      </c>
      <c r="B29" s="1" t="s">
        <v>64</v>
      </c>
      <c r="C29" s="3">
        <v>52</v>
      </c>
      <c r="E29" s="10" t="s">
        <v>38</v>
      </c>
    </row>
    <row r="30" spans="1:9" x14ac:dyDescent="0.25">
      <c r="A30" s="11">
        <v>24</v>
      </c>
      <c r="B30" s="1" t="s">
        <v>66</v>
      </c>
      <c r="C30" s="6">
        <f>C28/I19*52</f>
        <v>5414400</v>
      </c>
      <c r="D30" s="13" t="s">
        <v>67</v>
      </c>
      <c r="E30" s="10" t="s">
        <v>46</v>
      </c>
    </row>
    <row r="31" spans="1:9" x14ac:dyDescent="0.25">
      <c r="A31" s="11">
        <v>25</v>
      </c>
      <c r="B31" s="1" t="s">
        <v>78</v>
      </c>
      <c r="C31" s="6">
        <f>C24*C25/C29*52</f>
        <v>10152000</v>
      </c>
      <c r="D31" s="13" t="s">
        <v>75</v>
      </c>
      <c r="E31" s="10" t="s">
        <v>46</v>
      </c>
    </row>
    <row r="32" spans="1:9" x14ac:dyDescent="0.25">
      <c r="A32" s="11">
        <v>26</v>
      </c>
      <c r="B32" s="1" t="s">
        <v>68</v>
      </c>
      <c r="C32" s="22">
        <f>(C21/C30)</f>
        <v>11.152939093888831</v>
      </c>
      <c r="D32" s="13" t="s">
        <v>88</v>
      </c>
      <c r="E32" s="10" t="s">
        <v>106</v>
      </c>
    </row>
    <row r="33" spans="1:9" x14ac:dyDescent="0.25">
      <c r="A33" s="11">
        <v>27</v>
      </c>
      <c r="B33" s="1" t="s">
        <v>69</v>
      </c>
      <c r="C33" s="3">
        <v>115200</v>
      </c>
      <c r="E33" s="10" t="s">
        <v>38</v>
      </c>
    </row>
    <row r="34" spans="1:9" x14ac:dyDescent="0.25">
      <c r="A34" s="11">
        <v>28</v>
      </c>
      <c r="B34" s="1" t="s">
        <v>70</v>
      </c>
      <c r="C34" s="2">
        <v>19</v>
      </c>
      <c r="E34" s="10" t="s">
        <v>39</v>
      </c>
      <c r="G34">
        <v>41</v>
      </c>
      <c r="H34">
        <f>G34*C33*365/19</f>
        <v>90735157.894736841</v>
      </c>
      <c r="I34" s="20">
        <f>C35/H34</f>
        <v>1.2478584961797601</v>
      </c>
    </row>
    <row r="35" spans="1:9" x14ac:dyDescent="0.25">
      <c r="A35" s="11">
        <v>29</v>
      </c>
      <c r="B35" s="1" t="s">
        <v>71</v>
      </c>
      <c r="C35" s="30">
        <f>C32*C31</f>
        <v>113224637.68115941</v>
      </c>
      <c r="D35" s="13" t="s">
        <v>79</v>
      </c>
      <c r="E35" s="10" t="s">
        <v>46</v>
      </c>
    </row>
    <row r="36" spans="1:9" x14ac:dyDescent="0.25">
      <c r="A36" s="11">
        <v>30</v>
      </c>
      <c r="B36" s="1" t="s">
        <v>72</v>
      </c>
      <c r="C36" s="3">
        <v>0.8</v>
      </c>
      <c r="E36" s="10" t="s">
        <v>38</v>
      </c>
      <c r="H36" t="s">
        <v>116</v>
      </c>
      <c r="I36" t="s">
        <v>117</v>
      </c>
    </row>
    <row r="37" spans="1:9" x14ac:dyDescent="0.25">
      <c r="A37" s="11">
        <v>31</v>
      </c>
      <c r="B37" s="1" t="s">
        <v>73</v>
      </c>
      <c r="C37" s="5">
        <f>C35/C36/(C33*365/C34)</f>
        <v>63.952747929212705</v>
      </c>
      <c r="D37" s="13" t="s">
        <v>80</v>
      </c>
      <c r="E37" s="10" t="s">
        <v>106</v>
      </c>
      <c r="G37">
        <v>43</v>
      </c>
      <c r="H37" s="17">
        <f>G37*C33*365/19</f>
        <v>95161263.157894731</v>
      </c>
      <c r="I37" s="18">
        <f>C35/H37</f>
        <v>1.1898185661248877</v>
      </c>
    </row>
    <row r="38" spans="1:9" x14ac:dyDescent="0.25">
      <c r="A38" s="43" t="s">
        <v>103</v>
      </c>
      <c r="B38" s="43"/>
      <c r="C38" s="43"/>
      <c r="D38" s="43"/>
      <c r="E38" s="43"/>
    </row>
    <row r="39" spans="1:9" x14ac:dyDescent="0.25">
      <c r="A39" s="11">
        <v>32</v>
      </c>
      <c r="B39" s="1" t="s">
        <v>81</v>
      </c>
      <c r="C39" s="2">
        <f>C22*C32</f>
        <v>669176.34563332982</v>
      </c>
      <c r="D39" s="13" t="s">
        <v>82</v>
      </c>
      <c r="E39" s="10" t="s">
        <v>46</v>
      </c>
    </row>
    <row r="40" spans="1:9" x14ac:dyDescent="0.25">
      <c r="A40" s="11">
        <v>33</v>
      </c>
      <c r="B40" s="1" t="s">
        <v>60</v>
      </c>
      <c r="C40" s="3">
        <v>0.5</v>
      </c>
      <c r="E40" s="10" t="s">
        <v>38</v>
      </c>
    </row>
    <row r="41" spans="1:9" x14ac:dyDescent="0.25">
      <c r="A41" s="11">
        <v>34</v>
      </c>
      <c r="B41" s="1" t="s">
        <v>61</v>
      </c>
      <c r="C41" s="1">
        <f>1-C40</f>
        <v>0.5</v>
      </c>
      <c r="D41" s="13" t="s">
        <v>62</v>
      </c>
      <c r="E41" s="10" t="s">
        <v>46</v>
      </c>
    </row>
    <row r="42" spans="1:9" x14ac:dyDescent="0.25">
      <c r="A42" s="11">
        <v>35</v>
      </c>
      <c r="B42" s="1" t="s">
        <v>30</v>
      </c>
      <c r="C42" s="2">
        <f>C39/C41</f>
        <v>1338352.6912666596</v>
      </c>
      <c r="D42" s="13" t="s">
        <v>89</v>
      </c>
      <c r="E42" s="10" t="s">
        <v>46</v>
      </c>
    </row>
    <row r="43" spans="1:9" x14ac:dyDescent="0.25">
      <c r="A43" s="11">
        <v>36</v>
      </c>
      <c r="B43" s="2" t="s">
        <v>91</v>
      </c>
      <c r="C43" s="3">
        <v>50</v>
      </c>
      <c r="E43" s="10" t="s">
        <v>38</v>
      </c>
    </row>
    <row r="44" spans="1:9" x14ac:dyDescent="0.25">
      <c r="A44" s="11">
        <v>37</v>
      </c>
      <c r="B44" s="1" t="s">
        <v>32</v>
      </c>
      <c r="C44" s="3">
        <v>15000</v>
      </c>
      <c r="E44" s="10" t="s">
        <v>38</v>
      </c>
    </row>
    <row r="45" spans="1:9" x14ac:dyDescent="0.25">
      <c r="A45" s="11">
        <v>38</v>
      </c>
      <c r="B45" s="1" t="s">
        <v>33</v>
      </c>
      <c r="C45" s="3">
        <v>0.08</v>
      </c>
      <c r="E45" s="10" t="s">
        <v>38</v>
      </c>
    </row>
    <row r="46" spans="1:9" x14ac:dyDescent="0.25">
      <c r="A46" s="11">
        <v>39</v>
      </c>
      <c r="B46" s="1" t="s">
        <v>34</v>
      </c>
      <c r="C46" s="2">
        <f>C44*(1-C45)</f>
        <v>13800</v>
      </c>
      <c r="D46" s="13" t="s">
        <v>90</v>
      </c>
      <c r="E46" s="10" t="s">
        <v>46</v>
      </c>
    </row>
    <row r="47" spans="1:9" x14ac:dyDescent="0.25">
      <c r="A47" s="11">
        <v>40</v>
      </c>
      <c r="B47" s="1" t="s">
        <v>93</v>
      </c>
      <c r="C47" s="2">
        <f>C46*C43</f>
        <v>690000</v>
      </c>
      <c r="D47" s="13" t="s">
        <v>92</v>
      </c>
      <c r="E47" s="10" t="s">
        <v>46</v>
      </c>
    </row>
    <row r="48" spans="1:9" x14ac:dyDescent="0.25">
      <c r="A48" s="11">
        <v>41</v>
      </c>
      <c r="B48" s="1" t="s">
        <v>36</v>
      </c>
      <c r="C48" s="3">
        <v>78</v>
      </c>
      <c r="E48" s="10" t="s">
        <v>38</v>
      </c>
    </row>
    <row r="49" spans="1:5" x14ac:dyDescent="0.25">
      <c r="A49" s="11">
        <v>42</v>
      </c>
      <c r="B49" s="1" t="s">
        <v>96</v>
      </c>
      <c r="C49" s="2">
        <f>C47/C48*52</f>
        <v>460000</v>
      </c>
      <c r="D49" s="13" t="s">
        <v>94</v>
      </c>
      <c r="E49" s="10" t="s">
        <v>46</v>
      </c>
    </row>
    <row r="50" spans="1:5" x14ac:dyDescent="0.25">
      <c r="A50" s="11">
        <v>43</v>
      </c>
      <c r="B50" s="2" t="s">
        <v>95</v>
      </c>
      <c r="C50" s="2">
        <f>(C42/C49)</f>
        <v>2.9094623723188255</v>
      </c>
      <c r="D50" s="13" t="s">
        <v>97</v>
      </c>
      <c r="E50" s="10" t="s">
        <v>106</v>
      </c>
    </row>
    <row r="51" spans="1:5" x14ac:dyDescent="0.25">
      <c r="A51" s="11">
        <v>44</v>
      </c>
      <c r="B51" s="1" t="s">
        <v>101</v>
      </c>
      <c r="C51" s="3">
        <v>38400</v>
      </c>
      <c r="E51" s="10" t="s">
        <v>38</v>
      </c>
    </row>
    <row r="52" spans="1:5" x14ac:dyDescent="0.25">
      <c r="A52" s="11">
        <v>45</v>
      </c>
      <c r="B52" s="1" t="s">
        <v>102</v>
      </c>
      <c r="C52" s="2">
        <v>19</v>
      </c>
      <c r="E52" s="10" t="s">
        <v>39</v>
      </c>
    </row>
    <row r="53" spans="1:5" x14ac:dyDescent="0.25">
      <c r="A53" s="11">
        <v>46</v>
      </c>
      <c r="B53" s="1" t="s">
        <v>98</v>
      </c>
      <c r="C53" s="15">
        <f>C59*C50</f>
        <v>5514013.0880186381</v>
      </c>
      <c r="D53" s="13" t="s">
        <v>99</v>
      </c>
      <c r="E53" s="10" t="s">
        <v>46</v>
      </c>
    </row>
    <row r="54" spans="1:5" x14ac:dyDescent="0.25">
      <c r="A54" s="11">
        <v>47</v>
      </c>
      <c r="B54" s="1" t="s">
        <v>100</v>
      </c>
      <c r="C54" s="3">
        <v>0.7</v>
      </c>
      <c r="E54" s="10" t="s">
        <v>38</v>
      </c>
    </row>
    <row r="55" spans="1:5" x14ac:dyDescent="0.25">
      <c r="A55" s="11">
        <v>48</v>
      </c>
      <c r="B55" s="1" t="s">
        <v>105</v>
      </c>
      <c r="C55" s="14">
        <f>C53/C54/(C51*365/C52)</f>
        <v>10.6782298467419</v>
      </c>
      <c r="D55" s="13" t="s">
        <v>112</v>
      </c>
      <c r="E55" s="10" t="s">
        <v>106</v>
      </c>
    </row>
    <row r="56" spans="1:5" x14ac:dyDescent="0.25">
      <c r="A56" s="11">
        <v>49</v>
      </c>
      <c r="B56" s="2" t="s">
        <v>108</v>
      </c>
      <c r="C56">
        <v>150</v>
      </c>
      <c r="E56" s="10" t="s">
        <v>38</v>
      </c>
    </row>
    <row r="57" spans="1:5" x14ac:dyDescent="0.25">
      <c r="A57" s="11">
        <v>50</v>
      </c>
      <c r="B57" s="2" t="s">
        <v>109</v>
      </c>
      <c r="C57">
        <v>140</v>
      </c>
      <c r="E57" s="10" t="s">
        <v>38</v>
      </c>
    </row>
    <row r="58" spans="1:5" x14ac:dyDescent="0.25">
      <c r="A58" s="11">
        <v>51</v>
      </c>
      <c r="B58" s="2" t="s">
        <v>119</v>
      </c>
      <c r="C58">
        <f>C46*C56+0.4*C46*C57</f>
        <v>2842800</v>
      </c>
      <c r="E58" s="10" t="s">
        <v>46</v>
      </c>
    </row>
    <row r="59" spans="1:5" x14ac:dyDescent="0.25">
      <c r="A59" s="11">
        <v>52</v>
      </c>
      <c r="B59" s="2" t="s">
        <v>110</v>
      </c>
      <c r="C59">
        <f>C58/C48*52</f>
        <v>1895200</v>
      </c>
      <c r="E59" s="10" t="s">
        <v>46</v>
      </c>
    </row>
    <row r="60" spans="1:5" x14ac:dyDescent="0.25">
      <c r="A60" s="11">
        <v>53</v>
      </c>
      <c r="B60" s="2" t="s">
        <v>111</v>
      </c>
      <c r="C60">
        <f>C59*C50</f>
        <v>5514013.0880186381</v>
      </c>
      <c r="E60" s="10" t="s">
        <v>46</v>
      </c>
    </row>
    <row r="61" spans="1:5" x14ac:dyDescent="0.25">
      <c r="B61" s="2" t="s">
        <v>120</v>
      </c>
      <c r="C61">
        <f>C56*0.75</f>
        <v>112.5</v>
      </c>
      <c r="E61" s="10" t="s">
        <v>38</v>
      </c>
    </row>
    <row r="62" spans="1:5" x14ac:dyDescent="0.25">
      <c r="B62" s="2" t="s">
        <v>118</v>
      </c>
      <c r="C62">
        <f>C57*0.7</f>
        <v>98</v>
      </c>
      <c r="E62" s="10" t="s">
        <v>38</v>
      </c>
    </row>
    <row r="63" spans="1:5" x14ac:dyDescent="0.25">
      <c r="B63" s="2" t="s">
        <v>121</v>
      </c>
      <c r="C63">
        <v>40</v>
      </c>
      <c r="E63" s="10" t="s">
        <v>38</v>
      </c>
    </row>
    <row r="64" spans="1:5" x14ac:dyDescent="0.25">
      <c r="B64" s="2" t="s">
        <v>122</v>
      </c>
      <c r="C64" s="23">
        <f>((C61-C43)*C46)+((C62-C63)*0.4*C46)*C50</f>
        <v>1793993.4731215953</v>
      </c>
      <c r="E64" s="10" t="s">
        <v>46</v>
      </c>
    </row>
    <row r="65" spans="2:5" x14ac:dyDescent="0.25">
      <c r="B65" s="2" t="s">
        <v>123</v>
      </c>
      <c r="C65" s="24">
        <f>C64/C48*52</f>
        <v>1195995.6487477303</v>
      </c>
      <c r="E65" s="10" t="s">
        <v>46</v>
      </c>
    </row>
    <row r="66" spans="2:5" x14ac:dyDescent="0.25">
      <c r="D66" s="21"/>
    </row>
  </sheetData>
  <mergeCells count="3">
    <mergeCell ref="A38:E38"/>
    <mergeCell ref="A18:E18"/>
    <mergeCell ref="A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CB8A-2000-47A9-9FAC-E019A5487BE1}">
  <dimension ref="A2:K66"/>
  <sheetViews>
    <sheetView zoomScaleNormal="100" workbookViewId="0">
      <selection activeCell="A7" sqref="A1:XFD1048576"/>
    </sheetView>
  </sheetViews>
  <sheetFormatPr defaultRowHeight="13.2" x14ac:dyDescent="0.25"/>
  <cols>
    <col min="1" max="1" width="8.88671875" style="11"/>
    <col min="2" max="2" width="30.44140625" bestFit="1" customWidth="1"/>
    <col min="3" max="3" width="15.109375" bestFit="1" customWidth="1"/>
    <col min="4" max="4" width="78.88671875" style="10" bestFit="1" customWidth="1"/>
    <col min="5" max="5" width="10.88671875" customWidth="1"/>
    <col min="7" max="7" width="16.21875" bestFit="1" customWidth="1"/>
    <col min="8" max="8" width="20.6640625" bestFit="1" customWidth="1"/>
    <col min="9" max="9" width="14" bestFit="1" customWidth="1"/>
    <col min="10" max="10" width="16.21875" bestFit="1" customWidth="1"/>
    <col min="11" max="11" width="14.109375" bestFit="1" customWidth="1"/>
  </cols>
  <sheetData>
    <row r="2" spans="1:11" x14ac:dyDescent="0.25">
      <c r="A2" s="11" t="s">
        <v>124</v>
      </c>
      <c r="B2" t="s">
        <v>125</v>
      </c>
      <c r="C2" s="19">
        <f>C9/(1-C8)</f>
        <v>24154589.371980675</v>
      </c>
    </row>
    <row r="4" spans="1:11" x14ac:dyDescent="0.25">
      <c r="A4" s="12" t="s">
        <v>44</v>
      </c>
      <c r="B4" s="8" t="s">
        <v>59</v>
      </c>
      <c r="C4" s="8"/>
      <c r="D4" s="9" t="s">
        <v>41</v>
      </c>
      <c r="E4" s="12" t="s">
        <v>42</v>
      </c>
    </row>
    <row r="5" spans="1:11" x14ac:dyDescent="0.25">
      <c r="A5" s="43" t="s">
        <v>40</v>
      </c>
      <c r="B5" s="43"/>
      <c r="C5" s="43"/>
      <c r="D5" s="43"/>
      <c r="E5" s="43"/>
    </row>
    <row r="6" spans="1:11" x14ac:dyDescent="0.25">
      <c r="A6" s="11">
        <v>1</v>
      </c>
      <c r="B6" s="1" t="s">
        <v>0</v>
      </c>
      <c r="C6" s="40">
        <v>40000</v>
      </c>
      <c r="E6" s="10" t="s">
        <v>107</v>
      </c>
    </row>
    <row r="7" spans="1:11" x14ac:dyDescent="0.25">
      <c r="A7" s="11">
        <v>2</v>
      </c>
      <c r="B7" s="1" t="s">
        <v>43</v>
      </c>
      <c r="C7" s="7">
        <v>1.8</v>
      </c>
      <c r="E7" s="10" t="s">
        <v>38</v>
      </c>
      <c r="F7" s="25"/>
    </row>
    <row r="8" spans="1:11" x14ac:dyDescent="0.25">
      <c r="A8" s="11">
        <v>3</v>
      </c>
      <c r="B8" s="1" t="s">
        <v>45</v>
      </c>
      <c r="C8" s="7">
        <v>0.08</v>
      </c>
      <c r="E8" s="10" t="s">
        <v>38</v>
      </c>
      <c r="F8" s="25"/>
      <c r="H8" s="17"/>
    </row>
    <row r="9" spans="1:11" x14ac:dyDescent="0.25">
      <c r="A9" s="11">
        <v>4</v>
      </c>
      <c r="B9" s="1" t="s">
        <v>3</v>
      </c>
      <c r="C9" s="27">
        <f>C6*1000/C7</f>
        <v>22222222.22222222</v>
      </c>
      <c r="D9" s="13" t="s">
        <v>47</v>
      </c>
      <c r="E9" s="10" t="s">
        <v>46</v>
      </c>
      <c r="F9" s="25"/>
      <c r="G9" s="17">
        <f>C6*1000/C7</f>
        <v>22222222.22222222</v>
      </c>
    </row>
    <row r="10" spans="1:11" x14ac:dyDescent="0.25">
      <c r="A10" s="11">
        <v>5</v>
      </c>
      <c r="B10" s="2" t="s">
        <v>48</v>
      </c>
      <c r="C10" s="31">
        <v>60</v>
      </c>
      <c r="E10" s="10" t="s">
        <v>39</v>
      </c>
      <c r="F10" s="25" t="s">
        <v>114</v>
      </c>
      <c r="G10" s="19"/>
      <c r="H10" s="19"/>
      <c r="I10" s="19"/>
    </row>
    <row r="11" spans="1:11" x14ac:dyDescent="0.25">
      <c r="A11" s="11">
        <v>6</v>
      </c>
      <c r="B11" s="1" t="s">
        <v>5</v>
      </c>
      <c r="C11" s="32">
        <f>365/C10</f>
        <v>6.083333333333333</v>
      </c>
      <c r="D11" s="13" t="s">
        <v>49</v>
      </c>
      <c r="E11" s="10" t="s">
        <v>46</v>
      </c>
      <c r="F11" s="25"/>
    </row>
    <row r="12" spans="1:11" x14ac:dyDescent="0.25">
      <c r="A12" s="11">
        <v>7</v>
      </c>
      <c r="B12" s="1" t="s">
        <v>50</v>
      </c>
      <c r="C12" s="34">
        <f>C9/C11</f>
        <v>3652968.0365296802</v>
      </c>
      <c r="D12" s="13" t="s">
        <v>51</v>
      </c>
      <c r="E12" s="10" t="s">
        <v>46</v>
      </c>
      <c r="F12" s="25"/>
    </row>
    <row r="13" spans="1:11" x14ac:dyDescent="0.25">
      <c r="A13" s="11">
        <v>8</v>
      </c>
      <c r="B13" s="2" t="s">
        <v>52</v>
      </c>
      <c r="C13" s="7">
        <v>350000</v>
      </c>
      <c r="E13" s="10" t="s">
        <v>38</v>
      </c>
      <c r="F13" s="25"/>
      <c r="I13" t="s">
        <v>132</v>
      </c>
      <c r="J13" t="s">
        <v>133</v>
      </c>
      <c r="K13" s="1" t="s">
        <v>0</v>
      </c>
    </row>
    <row r="14" spans="1:11" x14ac:dyDescent="0.25">
      <c r="A14" s="11">
        <v>9</v>
      </c>
      <c r="B14" s="1" t="s">
        <v>54</v>
      </c>
      <c r="C14" s="41">
        <f>C12/C13</f>
        <v>10.437051532941943</v>
      </c>
      <c r="D14" s="13" t="s">
        <v>53</v>
      </c>
      <c r="E14" s="10" t="s">
        <v>106</v>
      </c>
      <c r="G14" s="19"/>
      <c r="H14" s="19">
        <v>13.05</v>
      </c>
      <c r="I14" s="19">
        <f>H14*C13</f>
        <v>4567500</v>
      </c>
      <c r="J14" s="17">
        <f>I14*C11</f>
        <v>27785625</v>
      </c>
      <c r="K14" s="19">
        <f>J14*1.8</f>
        <v>50014125</v>
      </c>
    </row>
    <row r="15" spans="1:11" x14ac:dyDescent="0.25">
      <c r="A15" s="11">
        <v>10</v>
      </c>
      <c r="B15" s="1" t="s">
        <v>55</v>
      </c>
      <c r="C15" s="7">
        <v>12</v>
      </c>
      <c r="E15" s="10" t="s">
        <v>38</v>
      </c>
      <c r="F15" s="25"/>
    </row>
    <row r="16" spans="1:11" x14ac:dyDescent="0.25">
      <c r="A16" s="11">
        <v>11</v>
      </c>
      <c r="B16" s="1" t="s">
        <v>56</v>
      </c>
      <c r="C16" s="7">
        <v>1680</v>
      </c>
      <c r="E16" s="10" t="s">
        <v>38</v>
      </c>
      <c r="F16" s="25"/>
    </row>
    <row r="17" spans="1:9" x14ac:dyDescent="0.25">
      <c r="A17" s="11">
        <v>12</v>
      </c>
      <c r="B17" s="1" t="s">
        <v>57</v>
      </c>
      <c r="C17" s="7">
        <f>C13/C15/C16</f>
        <v>17.361111111111111</v>
      </c>
      <c r="D17" s="13" t="s">
        <v>58</v>
      </c>
      <c r="E17" s="10" t="s">
        <v>46</v>
      </c>
      <c r="F17" s="25"/>
    </row>
    <row r="18" spans="1:9" x14ac:dyDescent="0.25">
      <c r="A18" s="43" t="s">
        <v>104</v>
      </c>
      <c r="B18" s="43"/>
      <c r="C18" s="43"/>
      <c r="D18" s="43"/>
      <c r="E18" s="43"/>
    </row>
    <row r="19" spans="1:9" x14ac:dyDescent="0.25">
      <c r="A19" s="11">
        <v>13</v>
      </c>
      <c r="B19" s="1" t="s">
        <v>83</v>
      </c>
      <c r="C19" s="7">
        <v>0.5</v>
      </c>
      <c r="E19" s="10" t="s">
        <v>38</v>
      </c>
      <c r="H19" s="19" t="s">
        <v>126</v>
      </c>
      <c r="I19">
        <v>78</v>
      </c>
    </row>
    <row r="20" spans="1:9" x14ac:dyDescent="0.25">
      <c r="A20" s="11">
        <v>14</v>
      </c>
      <c r="B20" s="2" t="s">
        <v>84</v>
      </c>
      <c r="C20" s="1">
        <f>1-C19</f>
        <v>0.5</v>
      </c>
      <c r="D20" s="13" t="s">
        <v>85</v>
      </c>
      <c r="E20" s="10" t="s">
        <v>46</v>
      </c>
      <c r="H20" t="s">
        <v>127</v>
      </c>
    </row>
    <row r="21" spans="1:9" x14ac:dyDescent="0.25">
      <c r="A21" s="11">
        <v>15</v>
      </c>
      <c r="B21" s="2" t="s">
        <v>87</v>
      </c>
      <c r="C21" s="32">
        <f>((C2/C20))</f>
        <v>48309178.743961349</v>
      </c>
      <c r="D21" s="26" t="s">
        <v>86</v>
      </c>
      <c r="E21" s="10" t="s">
        <v>46</v>
      </c>
    </row>
    <row r="22" spans="1:9" x14ac:dyDescent="0.25">
      <c r="A22" s="11">
        <v>16</v>
      </c>
      <c r="B22" s="1" t="s">
        <v>15</v>
      </c>
      <c r="C22" s="38">
        <v>60000</v>
      </c>
      <c r="E22" s="10" t="s">
        <v>38</v>
      </c>
    </row>
    <row r="23" spans="1:9" x14ac:dyDescent="0.25">
      <c r="A23" s="11">
        <v>17</v>
      </c>
      <c r="B23" s="1" t="s">
        <v>16</v>
      </c>
      <c r="C23" s="7">
        <v>0.06</v>
      </c>
      <c r="E23" s="10" t="s">
        <v>38</v>
      </c>
    </row>
    <row r="24" spans="1:9" x14ac:dyDescent="0.25">
      <c r="A24" s="11">
        <v>18</v>
      </c>
      <c r="B24" s="1" t="s">
        <v>17</v>
      </c>
      <c r="C24" s="7">
        <f>(1-C23)*C22</f>
        <v>56400</v>
      </c>
      <c r="D24" s="13" t="s">
        <v>63</v>
      </c>
      <c r="E24" s="10" t="s">
        <v>46</v>
      </c>
    </row>
    <row r="25" spans="1:9" x14ac:dyDescent="0.25">
      <c r="A25" s="11">
        <v>19</v>
      </c>
      <c r="B25" s="2" t="s">
        <v>74</v>
      </c>
      <c r="C25" s="7">
        <v>180</v>
      </c>
      <c r="E25" s="10" t="s">
        <v>38</v>
      </c>
    </row>
    <row r="26" spans="1:9" x14ac:dyDescent="0.25">
      <c r="A26" s="11">
        <v>20</v>
      </c>
      <c r="B26" s="2" t="s">
        <v>76</v>
      </c>
      <c r="C26" s="3">
        <f>C25*C27</f>
        <v>144</v>
      </c>
      <c r="D26" s="13" t="s">
        <v>115</v>
      </c>
      <c r="E26" s="10" t="s">
        <v>38</v>
      </c>
      <c r="F26" t="s">
        <v>113</v>
      </c>
    </row>
    <row r="27" spans="1:9" x14ac:dyDescent="0.25">
      <c r="A27" s="11">
        <v>21</v>
      </c>
      <c r="B27" s="2" t="s">
        <v>20</v>
      </c>
      <c r="C27" s="7">
        <v>0.8</v>
      </c>
      <c r="E27" s="10" t="s">
        <v>38</v>
      </c>
    </row>
    <row r="28" spans="1:9" x14ac:dyDescent="0.25">
      <c r="A28" s="11">
        <v>22</v>
      </c>
      <c r="B28" s="1" t="s">
        <v>65</v>
      </c>
      <c r="C28" s="34">
        <f>C24*C26</f>
        <v>8121600</v>
      </c>
      <c r="D28" s="13" t="s">
        <v>77</v>
      </c>
      <c r="E28" s="10" t="s">
        <v>46</v>
      </c>
    </row>
    <row r="29" spans="1:9" x14ac:dyDescent="0.25">
      <c r="A29" s="11">
        <v>23</v>
      </c>
      <c r="B29" s="1" t="s">
        <v>64</v>
      </c>
      <c r="C29" s="7">
        <v>78</v>
      </c>
      <c r="E29" s="10" t="s">
        <v>38</v>
      </c>
    </row>
    <row r="30" spans="1:9" x14ac:dyDescent="0.25">
      <c r="A30" s="11">
        <v>24</v>
      </c>
      <c r="B30" s="1" t="s">
        <v>66</v>
      </c>
      <c r="C30" s="35">
        <f>C28/I19*52</f>
        <v>5414400</v>
      </c>
      <c r="D30" s="13" t="s">
        <v>67</v>
      </c>
      <c r="E30" s="10" t="s">
        <v>46</v>
      </c>
    </row>
    <row r="31" spans="1:9" x14ac:dyDescent="0.25">
      <c r="A31" s="11">
        <v>25</v>
      </c>
      <c r="B31" s="1" t="s">
        <v>78</v>
      </c>
      <c r="C31" s="35">
        <f>C24*C25/C29*52</f>
        <v>6768000</v>
      </c>
      <c r="D31" s="13" t="s">
        <v>75</v>
      </c>
      <c r="E31" s="10" t="s">
        <v>46</v>
      </c>
    </row>
    <row r="32" spans="1:9" x14ac:dyDescent="0.25">
      <c r="A32" s="11">
        <v>26</v>
      </c>
      <c r="B32" s="1" t="s">
        <v>68</v>
      </c>
      <c r="C32" s="36">
        <f>(C21/C30)</f>
        <v>8.9223512751110654</v>
      </c>
      <c r="D32" s="13" t="s">
        <v>88</v>
      </c>
      <c r="E32" s="10" t="s">
        <v>106</v>
      </c>
    </row>
    <row r="33" spans="1:9" x14ac:dyDescent="0.25">
      <c r="A33" s="11">
        <v>27</v>
      </c>
      <c r="B33" s="1" t="s">
        <v>69</v>
      </c>
      <c r="C33" s="7">
        <v>115200</v>
      </c>
      <c r="E33" s="10" t="s">
        <v>38</v>
      </c>
    </row>
    <row r="34" spans="1:9" x14ac:dyDescent="0.25">
      <c r="A34" s="11">
        <v>28</v>
      </c>
      <c r="B34" s="1" t="s">
        <v>70</v>
      </c>
      <c r="C34" s="3">
        <v>19</v>
      </c>
      <c r="E34" s="10" t="s">
        <v>39</v>
      </c>
      <c r="G34">
        <v>41</v>
      </c>
      <c r="H34">
        <f>G34*C33*365/19</f>
        <v>90735157.894736841</v>
      </c>
      <c r="I34" s="20">
        <f>C35/H34</f>
        <v>0.66552453129587219</v>
      </c>
    </row>
    <row r="35" spans="1:9" x14ac:dyDescent="0.25">
      <c r="A35" s="11">
        <v>29</v>
      </c>
      <c r="B35" s="1" t="s">
        <v>71</v>
      </c>
      <c r="C35" s="30">
        <f>C32*C31</f>
        <v>60386473.42995169</v>
      </c>
      <c r="D35" s="13" t="s">
        <v>79</v>
      </c>
      <c r="E35" s="10" t="s">
        <v>46</v>
      </c>
    </row>
    <row r="36" spans="1:9" x14ac:dyDescent="0.25">
      <c r="A36" s="11">
        <v>30</v>
      </c>
      <c r="B36" s="1" t="s">
        <v>72</v>
      </c>
      <c r="C36" s="7">
        <v>0.8</v>
      </c>
      <c r="E36" s="10" t="s">
        <v>38</v>
      </c>
      <c r="H36" t="s">
        <v>116</v>
      </c>
      <c r="I36" t="s">
        <v>117</v>
      </c>
    </row>
    <row r="37" spans="1:9" x14ac:dyDescent="0.25">
      <c r="A37" s="11">
        <v>31</v>
      </c>
      <c r="B37" s="1" t="s">
        <v>73</v>
      </c>
      <c r="C37" s="33">
        <f>C35/C36/(C33*365/C34)</f>
        <v>34.108132228913448</v>
      </c>
      <c r="D37" s="13" t="s">
        <v>80</v>
      </c>
      <c r="E37" s="10" t="s">
        <v>106</v>
      </c>
      <c r="G37">
        <v>43</v>
      </c>
      <c r="H37" s="17">
        <f>G37*C33*365/19</f>
        <v>95161263.157894731</v>
      </c>
      <c r="I37" s="18">
        <f>C35/H37</f>
        <v>0.63456990193327345</v>
      </c>
    </row>
    <row r="38" spans="1:9" x14ac:dyDescent="0.25">
      <c r="A38" s="43" t="s">
        <v>103</v>
      </c>
      <c r="B38" s="43"/>
      <c r="C38" s="43"/>
      <c r="D38" s="43"/>
      <c r="E38" s="43"/>
    </row>
    <row r="39" spans="1:9" x14ac:dyDescent="0.25">
      <c r="A39" s="11">
        <v>32</v>
      </c>
      <c r="B39" s="1" t="s">
        <v>81</v>
      </c>
      <c r="C39" s="39">
        <f>C22*C32</f>
        <v>535341.07650666393</v>
      </c>
      <c r="D39" s="13" t="s">
        <v>82</v>
      </c>
      <c r="E39" s="10" t="s">
        <v>46</v>
      </c>
      <c r="G39" s="19">
        <f>C22*C32</f>
        <v>535341.07650666393</v>
      </c>
    </row>
    <row r="40" spans="1:9" x14ac:dyDescent="0.25">
      <c r="A40" s="11">
        <v>33</v>
      </c>
      <c r="B40" s="1" t="s">
        <v>60</v>
      </c>
      <c r="C40" s="7">
        <v>0.5</v>
      </c>
      <c r="E40" s="10" t="s">
        <v>38</v>
      </c>
    </row>
    <row r="41" spans="1:9" x14ac:dyDescent="0.25">
      <c r="A41" s="11">
        <v>34</v>
      </c>
      <c r="B41" s="1" t="s">
        <v>61</v>
      </c>
      <c r="C41" s="1">
        <f>1-C40</f>
        <v>0.5</v>
      </c>
      <c r="D41" s="13" t="s">
        <v>62</v>
      </c>
      <c r="E41" s="10" t="s">
        <v>46</v>
      </c>
    </row>
    <row r="42" spans="1:9" x14ac:dyDescent="0.25">
      <c r="A42" s="11">
        <v>35</v>
      </c>
      <c r="B42" s="1" t="s">
        <v>30</v>
      </c>
      <c r="C42" s="39">
        <f>C39/C41</f>
        <v>1070682.1530133279</v>
      </c>
      <c r="D42" s="13" t="s">
        <v>89</v>
      </c>
      <c r="E42" s="10" t="s">
        <v>46</v>
      </c>
    </row>
    <row r="43" spans="1:9" x14ac:dyDescent="0.25">
      <c r="A43" s="11">
        <v>36</v>
      </c>
      <c r="B43" s="2" t="s">
        <v>91</v>
      </c>
      <c r="C43" s="7">
        <v>50</v>
      </c>
      <c r="E43" s="10" t="s">
        <v>38</v>
      </c>
    </row>
    <row r="44" spans="1:9" x14ac:dyDescent="0.25">
      <c r="A44" s="11">
        <v>37</v>
      </c>
      <c r="B44" s="1" t="s">
        <v>32</v>
      </c>
      <c r="C44" s="7">
        <v>15000</v>
      </c>
      <c r="E44" s="10" t="s">
        <v>38</v>
      </c>
    </row>
    <row r="45" spans="1:9" x14ac:dyDescent="0.25">
      <c r="A45" s="11">
        <v>38</v>
      </c>
      <c r="B45" s="1" t="s">
        <v>33</v>
      </c>
      <c r="C45" s="7">
        <v>0.08</v>
      </c>
      <c r="E45" s="10" t="s">
        <v>38</v>
      </c>
    </row>
    <row r="46" spans="1:9" x14ac:dyDescent="0.25">
      <c r="A46" s="11">
        <v>39</v>
      </c>
      <c r="B46" s="1" t="s">
        <v>34</v>
      </c>
      <c r="C46" s="7">
        <f>C44*(1-C45)</f>
        <v>13800</v>
      </c>
      <c r="D46" s="13" t="s">
        <v>90</v>
      </c>
      <c r="E46" s="10" t="s">
        <v>46</v>
      </c>
    </row>
    <row r="47" spans="1:9" x14ac:dyDescent="0.25">
      <c r="A47" s="11">
        <v>40</v>
      </c>
      <c r="B47" s="1" t="s">
        <v>93</v>
      </c>
      <c r="C47" s="7">
        <f>C46*C43</f>
        <v>690000</v>
      </c>
      <c r="D47" s="13" t="s">
        <v>92</v>
      </c>
      <c r="E47" s="10" t="s">
        <v>46</v>
      </c>
    </row>
    <row r="48" spans="1:9" x14ac:dyDescent="0.25">
      <c r="A48" s="11">
        <v>41</v>
      </c>
      <c r="B48" s="1" t="s">
        <v>36</v>
      </c>
      <c r="C48" s="7">
        <v>78</v>
      </c>
      <c r="E48" s="10" t="s">
        <v>38</v>
      </c>
    </row>
    <row r="49" spans="1:7" x14ac:dyDescent="0.25">
      <c r="A49" s="11">
        <v>42</v>
      </c>
      <c r="B49" s="1" t="s">
        <v>96</v>
      </c>
      <c r="C49" s="7">
        <f>C47/C48*52</f>
        <v>460000</v>
      </c>
      <c r="D49" s="13" t="s">
        <v>94</v>
      </c>
      <c r="E49" s="10" t="s">
        <v>46</v>
      </c>
    </row>
    <row r="50" spans="1:7" x14ac:dyDescent="0.25">
      <c r="A50" s="11">
        <v>43</v>
      </c>
      <c r="B50" s="2" t="s">
        <v>95</v>
      </c>
      <c r="C50" s="36">
        <f>(C42/C49)</f>
        <v>2.3275698978550605</v>
      </c>
      <c r="D50" s="13" t="s">
        <v>97</v>
      </c>
      <c r="E50" s="10" t="s">
        <v>106</v>
      </c>
    </row>
    <row r="51" spans="1:7" x14ac:dyDescent="0.25">
      <c r="A51" s="11">
        <v>44</v>
      </c>
      <c r="B51" s="1" t="s">
        <v>101</v>
      </c>
      <c r="C51" s="7">
        <v>38400</v>
      </c>
      <c r="E51" s="10" t="s">
        <v>38</v>
      </c>
    </row>
    <row r="52" spans="1:7" x14ac:dyDescent="0.25">
      <c r="A52" s="11">
        <v>45</v>
      </c>
      <c r="B52" s="1" t="s">
        <v>102</v>
      </c>
      <c r="C52" s="2">
        <v>19</v>
      </c>
      <c r="E52" s="10" t="s">
        <v>39</v>
      </c>
    </row>
    <row r="53" spans="1:7" x14ac:dyDescent="0.25">
      <c r="A53" s="11">
        <v>46</v>
      </c>
      <c r="B53" s="1" t="s">
        <v>98</v>
      </c>
      <c r="C53" s="15">
        <f>C59*C50</f>
        <v>4411210.4704149105</v>
      </c>
      <c r="D53" s="13" t="s">
        <v>99</v>
      </c>
      <c r="E53" s="10" t="s">
        <v>46</v>
      </c>
    </row>
    <row r="54" spans="1:7" x14ac:dyDescent="0.25">
      <c r="A54" s="11">
        <v>47</v>
      </c>
      <c r="B54" s="1" t="s">
        <v>100</v>
      </c>
      <c r="C54" s="7">
        <v>0.7</v>
      </c>
      <c r="E54" s="10" t="s">
        <v>38</v>
      </c>
    </row>
    <row r="55" spans="1:7" x14ac:dyDescent="0.25">
      <c r="A55" s="11">
        <v>48</v>
      </c>
      <c r="B55" s="1" t="s">
        <v>105</v>
      </c>
      <c r="C55" s="33">
        <f>C53/C54/(C51*365/C52)</f>
        <v>8.5425838773935201</v>
      </c>
      <c r="D55" s="13" t="s">
        <v>112</v>
      </c>
      <c r="E55" s="10" t="s">
        <v>106</v>
      </c>
    </row>
    <row r="56" spans="1:7" x14ac:dyDescent="0.25">
      <c r="A56" s="11">
        <v>49</v>
      </c>
      <c r="B56" s="2" t="s">
        <v>108</v>
      </c>
      <c r="C56" s="37">
        <v>150</v>
      </c>
      <c r="E56" s="10" t="s">
        <v>38</v>
      </c>
    </row>
    <row r="57" spans="1:7" x14ac:dyDescent="0.25">
      <c r="A57" s="11">
        <v>50</v>
      </c>
      <c r="B57" s="2" t="s">
        <v>109</v>
      </c>
      <c r="C57" s="37">
        <v>140</v>
      </c>
      <c r="E57" s="10" t="s">
        <v>38</v>
      </c>
    </row>
    <row r="58" spans="1:7" x14ac:dyDescent="0.25">
      <c r="A58" s="11">
        <v>51</v>
      </c>
      <c r="B58" s="2" t="s">
        <v>119</v>
      </c>
      <c r="C58" s="17">
        <f>C46*C56+0.4*C46*C57</f>
        <v>2842800</v>
      </c>
      <c r="E58" s="10" t="s">
        <v>46</v>
      </c>
    </row>
    <row r="59" spans="1:7" x14ac:dyDescent="0.25">
      <c r="A59" s="11">
        <v>52</v>
      </c>
      <c r="B59" s="2" t="s">
        <v>110</v>
      </c>
      <c r="C59" s="17">
        <f>C58/C48*52</f>
        <v>1895200</v>
      </c>
      <c r="E59" s="10" t="s">
        <v>46</v>
      </c>
    </row>
    <row r="60" spans="1:7" x14ac:dyDescent="0.25">
      <c r="A60" s="11">
        <v>53</v>
      </c>
      <c r="B60" s="2" t="s">
        <v>111</v>
      </c>
      <c r="C60" s="17">
        <f>C59*C50</f>
        <v>4411210.4704149105</v>
      </c>
      <c r="E60" s="10" t="s">
        <v>46</v>
      </c>
      <c r="G60" s="17">
        <f>C59*2</f>
        <v>3790400</v>
      </c>
    </row>
    <row r="61" spans="1:7" x14ac:dyDescent="0.25">
      <c r="B61" s="2" t="s">
        <v>120</v>
      </c>
      <c r="C61" s="37">
        <f>C56*0.75</f>
        <v>112.5</v>
      </c>
      <c r="E61" s="10" t="s">
        <v>38</v>
      </c>
    </row>
    <row r="62" spans="1:7" x14ac:dyDescent="0.25">
      <c r="B62" s="2" t="s">
        <v>118</v>
      </c>
      <c r="C62" s="37">
        <f>C57*0.7</f>
        <v>98</v>
      </c>
      <c r="E62" s="10" t="s">
        <v>38</v>
      </c>
    </row>
    <row r="63" spans="1:7" x14ac:dyDescent="0.25">
      <c r="B63" s="2" t="s">
        <v>121</v>
      </c>
      <c r="C63" s="37">
        <v>40</v>
      </c>
      <c r="E63" s="10" t="s">
        <v>38</v>
      </c>
    </row>
    <row r="64" spans="1:7" x14ac:dyDescent="0.25">
      <c r="B64" s="2" t="s">
        <v>122</v>
      </c>
      <c r="C64" s="23">
        <f>((C61-C43)*C46)+((C62-C63)*0.4*C46)*C50</f>
        <v>1607694.7784972764</v>
      </c>
      <c r="E64" s="10" t="s">
        <v>46</v>
      </c>
    </row>
    <row r="65" spans="2:5" x14ac:dyDescent="0.25">
      <c r="B65" s="2" t="s">
        <v>123</v>
      </c>
      <c r="C65" s="24">
        <f>C64/C48*52</f>
        <v>1071796.5189981842</v>
      </c>
      <c r="E65" s="10" t="s">
        <v>46</v>
      </c>
    </row>
    <row r="66" spans="2:5" x14ac:dyDescent="0.25">
      <c r="D66" s="21"/>
    </row>
  </sheetData>
  <mergeCells count="3">
    <mergeCell ref="A5:E5"/>
    <mergeCell ref="A18:E18"/>
    <mergeCell ref="A38:E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205B-9DCA-4535-AF18-000A5B452ADE}">
  <dimension ref="A2:K67"/>
  <sheetViews>
    <sheetView topLeftCell="A2" workbookViewId="0">
      <selection activeCell="D30" sqref="D30"/>
    </sheetView>
  </sheetViews>
  <sheetFormatPr defaultRowHeight="13.2" x14ac:dyDescent="0.25"/>
  <cols>
    <col min="1" max="1" width="8.88671875" style="11"/>
    <col min="2" max="2" width="30.44140625" bestFit="1" customWidth="1"/>
    <col min="3" max="3" width="15.109375" bestFit="1" customWidth="1"/>
    <col min="4" max="4" width="78.88671875" style="10" bestFit="1" customWidth="1"/>
    <col min="5" max="5" width="10.88671875" customWidth="1"/>
    <col min="7" max="7" width="16.21875" bestFit="1" customWidth="1"/>
    <col min="8" max="8" width="20.6640625" bestFit="1" customWidth="1"/>
    <col min="9" max="9" width="14" bestFit="1" customWidth="1"/>
    <col min="10" max="10" width="16.21875" bestFit="1" customWidth="1"/>
    <col min="11" max="11" width="14.109375" bestFit="1" customWidth="1"/>
  </cols>
  <sheetData>
    <row r="2" spans="1:11" x14ac:dyDescent="0.25">
      <c r="A2" s="11" t="s">
        <v>124</v>
      </c>
      <c r="B2" t="s">
        <v>125</v>
      </c>
      <c r="C2" s="19">
        <f>C9/(1-C8)</f>
        <v>23257166.114308972</v>
      </c>
    </row>
    <row r="4" spans="1:11" x14ac:dyDescent="0.25">
      <c r="A4" s="12" t="s">
        <v>44</v>
      </c>
      <c r="B4" s="8" t="s">
        <v>59</v>
      </c>
      <c r="C4" s="8"/>
      <c r="D4" s="9" t="s">
        <v>41</v>
      </c>
      <c r="E4" s="12" t="s">
        <v>42</v>
      </c>
    </row>
    <row r="5" spans="1:11" x14ac:dyDescent="0.25">
      <c r="A5" s="43" t="s">
        <v>40</v>
      </c>
      <c r="B5" s="43"/>
      <c r="C5" s="43"/>
      <c r="D5" s="43"/>
      <c r="E5" s="43"/>
    </row>
    <row r="6" spans="1:11" x14ac:dyDescent="0.25">
      <c r="A6" s="11">
        <v>1</v>
      </c>
      <c r="B6" s="1" t="s">
        <v>0</v>
      </c>
      <c r="C6" s="40">
        <v>40000</v>
      </c>
      <c r="E6" s="10" t="s">
        <v>107</v>
      </c>
    </row>
    <row r="7" spans="1:11" x14ac:dyDescent="0.25">
      <c r="A7" s="11">
        <v>2</v>
      </c>
      <c r="B7" s="1" t="s">
        <v>43</v>
      </c>
      <c r="C7" s="7">
        <v>1.89</v>
      </c>
      <c r="E7" s="10" t="s">
        <v>38</v>
      </c>
      <c r="F7" s="25"/>
    </row>
    <row r="8" spans="1:11" x14ac:dyDescent="0.25">
      <c r="A8" s="11">
        <v>3</v>
      </c>
      <c r="B8" s="1" t="s">
        <v>45</v>
      </c>
      <c r="C8" s="7">
        <v>0.09</v>
      </c>
      <c r="E8" s="10" t="s">
        <v>38</v>
      </c>
      <c r="F8" s="25"/>
      <c r="H8" s="17"/>
    </row>
    <row r="9" spans="1:11" x14ac:dyDescent="0.25">
      <c r="A9" s="11">
        <v>4</v>
      </c>
      <c r="B9" s="1" t="s">
        <v>3</v>
      </c>
      <c r="C9" s="27">
        <f>C6*1000/C7</f>
        <v>21164021.164021164</v>
      </c>
      <c r="D9" s="13" t="s">
        <v>47</v>
      </c>
      <c r="E9" s="10" t="s">
        <v>46</v>
      </c>
      <c r="F9" s="25"/>
      <c r="G9" s="17">
        <f>C6*1000/C7</f>
        <v>21164021.164021164</v>
      </c>
    </row>
    <row r="10" spans="1:11" x14ac:dyDescent="0.25">
      <c r="A10" s="11">
        <v>5</v>
      </c>
      <c r="B10" s="2" t="s">
        <v>48</v>
      </c>
      <c r="C10" s="31">
        <v>58</v>
      </c>
      <c r="E10" s="10" t="s">
        <v>39</v>
      </c>
      <c r="F10" s="25" t="s">
        <v>114</v>
      </c>
      <c r="G10" s="19"/>
      <c r="H10" s="19"/>
      <c r="I10" s="19"/>
    </row>
    <row r="11" spans="1:11" x14ac:dyDescent="0.25">
      <c r="A11" s="11">
        <v>6</v>
      </c>
      <c r="B11" s="1" t="s">
        <v>5</v>
      </c>
      <c r="C11" s="32">
        <f>365/C10</f>
        <v>6.2931034482758621</v>
      </c>
      <c r="D11" s="13" t="s">
        <v>49</v>
      </c>
      <c r="E11" s="10" t="s">
        <v>46</v>
      </c>
      <c r="F11" s="25"/>
    </row>
    <row r="12" spans="1:11" x14ac:dyDescent="0.25">
      <c r="A12" s="11">
        <v>7</v>
      </c>
      <c r="B12" s="1" t="s">
        <v>50</v>
      </c>
      <c r="C12" s="34">
        <f>C9/C11</f>
        <v>3363049.938392404</v>
      </c>
      <c r="D12" s="13" t="s">
        <v>51</v>
      </c>
      <c r="E12" s="10" t="s">
        <v>46</v>
      </c>
      <c r="F12" s="25"/>
    </row>
    <row r="13" spans="1:11" x14ac:dyDescent="0.25">
      <c r="A13" s="11">
        <v>8</v>
      </c>
      <c r="B13" s="2" t="s">
        <v>52</v>
      </c>
      <c r="C13" s="7">
        <v>360000</v>
      </c>
      <c r="E13" s="10" t="s">
        <v>38</v>
      </c>
      <c r="F13" s="25"/>
      <c r="I13" t="s">
        <v>132</v>
      </c>
      <c r="J13" t="s">
        <v>133</v>
      </c>
      <c r="K13" s="1" t="s">
        <v>0</v>
      </c>
    </row>
    <row r="14" spans="1:11" x14ac:dyDescent="0.25">
      <c r="A14" s="11">
        <v>9</v>
      </c>
      <c r="B14" s="1" t="s">
        <v>54</v>
      </c>
      <c r="C14" s="41">
        <f>C12/C13</f>
        <v>9.3418053844233437</v>
      </c>
      <c r="D14" s="13" t="s">
        <v>53</v>
      </c>
      <c r="E14" s="10" t="s">
        <v>106</v>
      </c>
      <c r="G14" s="19"/>
      <c r="H14" s="19">
        <v>13.05</v>
      </c>
      <c r="I14" s="19">
        <f>H14*C13</f>
        <v>4698000</v>
      </c>
      <c r="J14" s="17">
        <f>I14*C11</f>
        <v>29565000</v>
      </c>
      <c r="K14" s="19">
        <f>J14*1.8</f>
        <v>53217000</v>
      </c>
    </row>
    <row r="15" spans="1:11" x14ac:dyDescent="0.25">
      <c r="A15" s="11">
        <v>10</v>
      </c>
      <c r="B15" s="1" t="s">
        <v>55</v>
      </c>
      <c r="C15" s="7">
        <v>12</v>
      </c>
      <c r="E15" s="10" t="s">
        <v>38</v>
      </c>
      <c r="F15" s="25"/>
    </row>
    <row r="16" spans="1:11" x14ac:dyDescent="0.25">
      <c r="A16" s="11">
        <v>11</v>
      </c>
      <c r="B16" s="1" t="s">
        <v>56</v>
      </c>
      <c r="C16" s="7">
        <v>1680</v>
      </c>
      <c r="E16" s="10" t="s">
        <v>38</v>
      </c>
      <c r="F16" s="25"/>
    </row>
    <row r="17" spans="1:9" x14ac:dyDescent="0.25">
      <c r="A17" s="11">
        <v>12</v>
      </c>
      <c r="B17" s="1" t="s">
        <v>57</v>
      </c>
      <c r="C17" s="7">
        <f>C13/C15/C16</f>
        <v>17.857142857142858</v>
      </c>
      <c r="D17" s="13" t="s">
        <v>58</v>
      </c>
      <c r="E17" s="10" t="s">
        <v>46</v>
      </c>
      <c r="F17" s="25"/>
    </row>
    <row r="18" spans="1:9" x14ac:dyDescent="0.25">
      <c r="A18" s="43" t="s">
        <v>104</v>
      </c>
      <c r="B18" s="43"/>
      <c r="C18" s="43"/>
      <c r="D18" s="43"/>
      <c r="E18" s="43"/>
    </row>
    <row r="19" spans="1:9" x14ac:dyDescent="0.25">
      <c r="A19" s="11">
        <v>13</v>
      </c>
      <c r="B19" s="1" t="s">
        <v>83</v>
      </c>
      <c r="C19" s="7">
        <v>0.5</v>
      </c>
      <c r="E19" s="10" t="s">
        <v>38</v>
      </c>
      <c r="H19" s="19" t="s">
        <v>126</v>
      </c>
      <c r="I19">
        <v>78</v>
      </c>
    </row>
    <row r="20" spans="1:9" x14ac:dyDescent="0.25">
      <c r="A20" s="11">
        <v>14</v>
      </c>
      <c r="B20" s="2" t="s">
        <v>84</v>
      </c>
      <c r="C20" s="1">
        <f>1-C19</f>
        <v>0.5</v>
      </c>
      <c r="D20" s="13" t="s">
        <v>85</v>
      </c>
      <c r="E20" s="10" t="s">
        <v>46</v>
      </c>
      <c r="H20" t="s">
        <v>127</v>
      </c>
    </row>
    <row r="21" spans="1:9" x14ac:dyDescent="0.25">
      <c r="A21" s="11">
        <v>15</v>
      </c>
      <c r="B21" s="2" t="s">
        <v>87</v>
      </c>
      <c r="C21" s="32">
        <f>((C2/C20))</f>
        <v>46514332.228617944</v>
      </c>
      <c r="D21" s="26" t="s">
        <v>86</v>
      </c>
      <c r="E21" s="10" t="s">
        <v>46</v>
      </c>
    </row>
    <row r="22" spans="1:9" x14ac:dyDescent="0.25">
      <c r="A22" s="11">
        <v>16</v>
      </c>
      <c r="B22" s="1" t="s">
        <v>15</v>
      </c>
      <c r="C22" s="38">
        <v>80000</v>
      </c>
      <c r="E22" s="10" t="s">
        <v>38</v>
      </c>
    </row>
    <row r="23" spans="1:9" x14ac:dyDescent="0.25">
      <c r="A23" s="11">
        <v>17</v>
      </c>
      <c r="B23" s="1" t="s">
        <v>16</v>
      </c>
      <c r="C23" s="7">
        <v>0.08</v>
      </c>
      <c r="E23" s="10" t="s">
        <v>38</v>
      </c>
    </row>
    <row r="24" spans="1:9" x14ac:dyDescent="0.25">
      <c r="A24" s="11">
        <v>18</v>
      </c>
      <c r="B24" s="1" t="s">
        <v>17</v>
      </c>
      <c r="C24" s="32">
        <f>(1-C23)*C22</f>
        <v>73600</v>
      </c>
      <c r="D24" s="13" t="s">
        <v>63</v>
      </c>
      <c r="E24" s="10" t="s">
        <v>46</v>
      </c>
    </row>
    <row r="25" spans="1:9" x14ac:dyDescent="0.25">
      <c r="A25" s="11">
        <v>19</v>
      </c>
      <c r="B25" s="2" t="s">
        <v>74</v>
      </c>
      <c r="C25" s="7">
        <v>191</v>
      </c>
      <c r="E25" s="10" t="s">
        <v>38</v>
      </c>
    </row>
    <row r="26" spans="1:9" x14ac:dyDescent="0.25">
      <c r="A26" s="11">
        <v>20</v>
      </c>
      <c r="B26" s="2" t="s">
        <v>76</v>
      </c>
      <c r="C26" s="3">
        <f>C25*C27</f>
        <v>152.80000000000001</v>
      </c>
      <c r="D26" s="13" t="s">
        <v>115</v>
      </c>
      <c r="E26" s="10" t="s">
        <v>38</v>
      </c>
      <c r="F26" t="s">
        <v>113</v>
      </c>
    </row>
    <row r="27" spans="1:9" x14ac:dyDescent="0.25">
      <c r="A27" s="11">
        <v>21</v>
      </c>
      <c r="B27" s="2" t="s">
        <v>20</v>
      </c>
      <c r="C27" s="7">
        <v>0.8</v>
      </c>
      <c r="E27" s="10" t="s">
        <v>38</v>
      </c>
    </row>
    <row r="28" spans="1:9" x14ac:dyDescent="0.25">
      <c r="A28" s="11">
        <v>22</v>
      </c>
      <c r="B28" s="1" t="s">
        <v>65</v>
      </c>
      <c r="C28" s="34">
        <f>C24*C26</f>
        <v>11246080</v>
      </c>
      <c r="D28" s="13" t="s">
        <v>77</v>
      </c>
      <c r="E28" s="10" t="s">
        <v>46</v>
      </c>
    </row>
    <row r="29" spans="1:9" x14ac:dyDescent="0.25">
      <c r="A29" s="11">
        <v>23</v>
      </c>
      <c r="B29" s="1" t="s">
        <v>64</v>
      </c>
      <c r="C29" s="7">
        <v>26</v>
      </c>
      <c r="E29" s="10" t="s">
        <v>38</v>
      </c>
    </row>
    <row r="30" spans="1:9" x14ac:dyDescent="0.25">
      <c r="A30" s="11">
        <v>24</v>
      </c>
      <c r="B30" s="1" t="s">
        <v>66</v>
      </c>
      <c r="C30" s="35">
        <f>C28/C29*52</f>
        <v>22492160</v>
      </c>
      <c r="D30" s="13" t="s">
        <v>67</v>
      </c>
      <c r="E30" s="10" t="s">
        <v>46</v>
      </c>
    </row>
    <row r="31" spans="1:9" x14ac:dyDescent="0.25">
      <c r="A31" s="11">
        <v>25</v>
      </c>
      <c r="B31" s="1" t="s">
        <v>78</v>
      </c>
      <c r="C31" s="35">
        <f>C24*C25/C29*52</f>
        <v>28115200.000000004</v>
      </c>
      <c r="D31" s="13" t="s">
        <v>75</v>
      </c>
      <c r="E31" s="10" t="s">
        <v>46</v>
      </c>
    </row>
    <row r="32" spans="1:9" x14ac:dyDescent="0.25">
      <c r="A32" s="11">
        <v>26</v>
      </c>
      <c r="B32" s="1" t="s">
        <v>135</v>
      </c>
      <c r="C32" s="36">
        <f>C21/C30</f>
        <v>2.0680242461647946</v>
      </c>
      <c r="D32" s="13" t="s">
        <v>88</v>
      </c>
      <c r="E32" s="10" t="s">
        <v>106</v>
      </c>
    </row>
    <row r="33" spans="1:9" x14ac:dyDescent="0.25">
      <c r="B33" s="1" t="s">
        <v>136</v>
      </c>
      <c r="C33" s="36">
        <f>C32*2</f>
        <v>4.1360484923295893</v>
      </c>
      <c r="D33" s="13"/>
      <c r="E33" s="10"/>
    </row>
    <row r="34" spans="1:9" x14ac:dyDescent="0.25">
      <c r="A34" s="11">
        <v>27</v>
      </c>
      <c r="B34" s="1" t="s">
        <v>69</v>
      </c>
      <c r="C34" s="7">
        <v>115200</v>
      </c>
      <c r="E34" s="10" t="s">
        <v>38</v>
      </c>
    </row>
    <row r="35" spans="1:9" x14ac:dyDescent="0.25">
      <c r="A35" s="11">
        <v>28</v>
      </c>
      <c r="B35" s="1" t="s">
        <v>70</v>
      </c>
      <c r="C35" s="3">
        <v>19</v>
      </c>
      <c r="E35" s="10" t="s">
        <v>39</v>
      </c>
      <c r="G35">
        <v>41</v>
      </c>
      <c r="H35">
        <f>G35*C34*365/19</f>
        <v>90735157.894736841</v>
      </c>
      <c r="I35" s="20">
        <f>C36/H35</f>
        <v>0.6407980835083229</v>
      </c>
    </row>
    <row r="36" spans="1:9" x14ac:dyDescent="0.25">
      <c r="A36" s="11">
        <v>29</v>
      </c>
      <c r="B36" s="1" t="s">
        <v>71</v>
      </c>
      <c r="C36" s="30">
        <f>C32*C31</f>
        <v>58142915.285772443</v>
      </c>
      <c r="D36" s="13" t="s">
        <v>79</v>
      </c>
      <c r="E36" s="10" t="s">
        <v>46</v>
      </c>
    </row>
    <row r="37" spans="1:9" x14ac:dyDescent="0.25">
      <c r="A37" s="11">
        <v>30</v>
      </c>
      <c r="B37" s="1" t="s">
        <v>72</v>
      </c>
      <c r="C37" s="7">
        <v>0.85</v>
      </c>
      <c r="E37" s="10" t="s">
        <v>38</v>
      </c>
      <c r="H37" t="s">
        <v>116</v>
      </c>
      <c r="I37" t="s">
        <v>117</v>
      </c>
    </row>
    <row r="38" spans="1:9" x14ac:dyDescent="0.25">
      <c r="A38" s="11">
        <v>31</v>
      </c>
      <c r="B38" s="1" t="s">
        <v>73</v>
      </c>
      <c r="C38" s="33">
        <f>C36/C37/(C34*365/C35)</f>
        <v>30.909084028048518</v>
      </c>
      <c r="D38" s="13" t="s">
        <v>80</v>
      </c>
      <c r="E38" s="10" t="s">
        <v>106</v>
      </c>
      <c r="G38">
        <v>43</v>
      </c>
      <c r="H38" s="17">
        <f>G38*C34*365/19</f>
        <v>95161263.157894731</v>
      </c>
      <c r="I38" s="18">
        <f>C36/H38</f>
        <v>0.61099352148468</v>
      </c>
    </row>
    <row r="39" spans="1:9" x14ac:dyDescent="0.25">
      <c r="A39" s="43" t="s">
        <v>103</v>
      </c>
      <c r="B39" s="43"/>
      <c r="C39" s="43"/>
      <c r="D39" s="43"/>
      <c r="E39" s="43"/>
    </row>
    <row r="40" spans="1:9" x14ac:dyDescent="0.25">
      <c r="A40" s="11">
        <v>32</v>
      </c>
      <c r="B40" s="1" t="s">
        <v>138</v>
      </c>
      <c r="C40" s="39">
        <f>C22*C32/C29*52</f>
        <v>330883.87938636716</v>
      </c>
      <c r="D40" s="13" t="s">
        <v>82</v>
      </c>
      <c r="E40" s="10" t="s">
        <v>46</v>
      </c>
      <c r="G40" s="19">
        <f>C22*C32</f>
        <v>165441.93969318358</v>
      </c>
    </row>
    <row r="41" spans="1:9" x14ac:dyDescent="0.25">
      <c r="A41" s="11">
        <v>33</v>
      </c>
      <c r="B41" s="1" t="s">
        <v>60</v>
      </c>
      <c r="C41" s="7">
        <v>0.43</v>
      </c>
      <c r="E41" s="10" t="s">
        <v>38</v>
      </c>
    </row>
    <row r="42" spans="1:9" x14ac:dyDescent="0.25">
      <c r="A42" s="11">
        <v>34</v>
      </c>
      <c r="B42" s="1" t="s">
        <v>61</v>
      </c>
      <c r="C42" s="1">
        <f>1-C41</f>
        <v>0.57000000000000006</v>
      </c>
      <c r="D42" s="13" t="s">
        <v>62</v>
      </c>
      <c r="E42" s="10" t="s">
        <v>46</v>
      </c>
      <c r="G42" s="19">
        <f>C22*C33</f>
        <v>330883.87938636716</v>
      </c>
    </row>
    <row r="43" spans="1:9" x14ac:dyDescent="0.25">
      <c r="A43" s="11">
        <v>35</v>
      </c>
      <c r="B43" s="1" t="s">
        <v>30</v>
      </c>
      <c r="C43" s="39">
        <f>C40/C42</f>
        <v>580498.03401117038</v>
      </c>
      <c r="D43" s="13" t="s">
        <v>89</v>
      </c>
      <c r="E43" s="10" t="s">
        <v>46</v>
      </c>
    </row>
    <row r="44" spans="1:9" x14ac:dyDescent="0.25">
      <c r="A44" s="11">
        <v>36</v>
      </c>
      <c r="B44" s="2" t="s">
        <v>91</v>
      </c>
      <c r="C44" s="7">
        <v>48</v>
      </c>
      <c r="E44" s="10" t="s">
        <v>38</v>
      </c>
    </row>
    <row r="45" spans="1:9" x14ac:dyDescent="0.25">
      <c r="A45" s="11">
        <v>37</v>
      </c>
      <c r="B45" s="1" t="s">
        <v>32</v>
      </c>
      <c r="C45" s="7">
        <v>10000</v>
      </c>
      <c r="E45" s="10" t="s">
        <v>38</v>
      </c>
    </row>
    <row r="46" spans="1:9" x14ac:dyDescent="0.25">
      <c r="A46" s="11">
        <v>38</v>
      </c>
      <c r="B46" s="1" t="s">
        <v>33</v>
      </c>
      <c r="C46" s="7">
        <v>0.13</v>
      </c>
      <c r="E46" s="10" t="s">
        <v>38</v>
      </c>
    </row>
    <row r="47" spans="1:9" x14ac:dyDescent="0.25">
      <c r="A47" s="11">
        <v>39</v>
      </c>
      <c r="B47" s="1" t="s">
        <v>34</v>
      </c>
      <c r="C47" s="7">
        <f>C45*(1-C46)</f>
        <v>8700</v>
      </c>
      <c r="D47" s="13" t="s">
        <v>90</v>
      </c>
      <c r="E47" s="10" t="s">
        <v>46</v>
      </c>
    </row>
    <row r="48" spans="1:9" x14ac:dyDescent="0.25">
      <c r="A48" s="11">
        <v>40</v>
      </c>
      <c r="B48" s="1" t="s">
        <v>93</v>
      </c>
      <c r="C48" s="7">
        <f>C47*C44</f>
        <v>417600</v>
      </c>
      <c r="D48" s="13" t="s">
        <v>92</v>
      </c>
      <c r="E48" s="10" t="s">
        <v>46</v>
      </c>
    </row>
    <row r="49" spans="1:7" x14ac:dyDescent="0.25">
      <c r="A49" s="11">
        <v>41</v>
      </c>
      <c r="B49" s="1" t="s">
        <v>36</v>
      </c>
      <c r="C49" s="7">
        <v>78</v>
      </c>
      <c r="E49" s="10" t="s">
        <v>38</v>
      </c>
    </row>
    <row r="50" spans="1:7" x14ac:dyDescent="0.25">
      <c r="A50" s="11">
        <v>42</v>
      </c>
      <c r="B50" s="1" t="s">
        <v>96</v>
      </c>
      <c r="C50" s="7">
        <f>C48/C49*52</f>
        <v>278400</v>
      </c>
      <c r="D50" s="13" t="s">
        <v>94</v>
      </c>
      <c r="E50" s="10" t="s">
        <v>46</v>
      </c>
    </row>
    <row r="51" spans="1:7" x14ac:dyDescent="0.25">
      <c r="A51" s="11">
        <v>43</v>
      </c>
      <c r="B51" s="2" t="s">
        <v>95</v>
      </c>
      <c r="C51" s="36">
        <f>(C43/C50)</f>
        <v>2.0851222486033421</v>
      </c>
      <c r="D51" s="13" t="s">
        <v>97</v>
      </c>
      <c r="E51" s="10" t="s">
        <v>106</v>
      </c>
    </row>
    <row r="52" spans="1:7" x14ac:dyDescent="0.25">
      <c r="A52" s="11">
        <v>44</v>
      </c>
      <c r="B52" s="1" t="s">
        <v>101</v>
      </c>
      <c r="C52" s="7">
        <v>38400</v>
      </c>
      <c r="E52" s="10" t="s">
        <v>38</v>
      </c>
    </row>
    <row r="53" spans="1:7" x14ac:dyDescent="0.25">
      <c r="A53" s="11">
        <v>45</v>
      </c>
      <c r="B53" s="1" t="s">
        <v>102</v>
      </c>
      <c r="C53" s="2">
        <v>19</v>
      </c>
      <c r="E53" s="10" t="s">
        <v>39</v>
      </c>
    </row>
    <row r="54" spans="1:7" x14ac:dyDescent="0.25">
      <c r="A54" s="11">
        <v>46</v>
      </c>
      <c r="B54" s="1" t="s">
        <v>98</v>
      </c>
      <c r="C54" s="15">
        <f>C60*C51</f>
        <v>2491304.0626312732</v>
      </c>
      <c r="D54" s="13" t="s">
        <v>99</v>
      </c>
      <c r="E54" s="10" t="s">
        <v>46</v>
      </c>
    </row>
    <row r="55" spans="1:7" x14ac:dyDescent="0.25">
      <c r="A55" s="11">
        <v>47</v>
      </c>
      <c r="B55" s="1" t="s">
        <v>100</v>
      </c>
      <c r="C55" s="7">
        <v>0.7</v>
      </c>
      <c r="E55" s="10" t="s">
        <v>38</v>
      </c>
    </row>
    <row r="56" spans="1:7" x14ac:dyDescent="0.25">
      <c r="A56" s="11">
        <v>48</v>
      </c>
      <c r="B56" s="1" t="s">
        <v>105</v>
      </c>
      <c r="C56" s="33">
        <f>C54/C55/(C52*365/C53)</f>
        <v>4.8245655159403737</v>
      </c>
      <c r="D56" s="13" t="s">
        <v>112</v>
      </c>
      <c r="E56" s="10" t="s">
        <v>106</v>
      </c>
    </row>
    <row r="57" spans="1:7" x14ac:dyDescent="0.25">
      <c r="A57" s="11">
        <v>49</v>
      </c>
      <c r="B57" s="2" t="s">
        <v>108</v>
      </c>
      <c r="C57" s="37">
        <v>150</v>
      </c>
      <c r="E57" s="10" t="s">
        <v>38</v>
      </c>
    </row>
    <row r="58" spans="1:7" x14ac:dyDescent="0.25">
      <c r="A58" s="11">
        <v>50</v>
      </c>
      <c r="B58" s="2" t="s">
        <v>109</v>
      </c>
      <c r="C58" s="37">
        <v>140</v>
      </c>
      <c r="E58" s="10" t="s">
        <v>38</v>
      </c>
    </row>
    <row r="59" spans="1:7" x14ac:dyDescent="0.25">
      <c r="A59" s="11">
        <v>51</v>
      </c>
      <c r="B59" s="2" t="s">
        <v>119</v>
      </c>
      <c r="C59" s="17">
        <f>C47*C57+0.4*C47*C58</f>
        <v>1792200</v>
      </c>
      <c r="E59" s="10" t="s">
        <v>46</v>
      </c>
    </row>
    <row r="60" spans="1:7" x14ac:dyDescent="0.25">
      <c r="A60" s="11">
        <v>52</v>
      </c>
      <c r="B60" s="2" t="s">
        <v>110</v>
      </c>
      <c r="C60" s="17">
        <f>C59/C49*52</f>
        <v>1194800</v>
      </c>
      <c r="E60" s="10" t="s">
        <v>46</v>
      </c>
    </row>
    <row r="61" spans="1:7" x14ac:dyDescent="0.25">
      <c r="A61" s="11">
        <v>53</v>
      </c>
      <c r="B61" s="2" t="s">
        <v>111</v>
      </c>
      <c r="C61" s="17">
        <f>C60*C51</f>
        <v>2491304.0626312732</v>
      </c>
      <c r="E61" s="10" t="s">
        <v>46</v>
      </c>
      <c r="G61" s="17">
        <f>C60*2</f>
        <v>2389600</v>
      </c>
    </row>
    <row r="62" spans="1:7" x14ac:dyDescent="0.25">
      <c r="B62" s="2" t="s">
        <v>120</v>
      </c>
      <c r="C62" s="37">
        <f>C57*0.75</f>
        <v>112.5</v>
      </c>
      <c r="E62" s="10" t="s">
        <v>38</v>
      </c>
    </row>
    <row r="63" spans="1:7" x14ac:dyDescent="0.25">
      <c r="B63" s="2" t="s">
        <v>118</v>
      </c>
      <c r="C63" s="37">
        <f>C58*0.7</f>
        <v>98</v>
      </c>
      <c r="E63" s="10" t="s">
        <v>38</v>
      </c>
    </row>
    <row r="64" spans="1:7" x14ac:dyDescent="0.25">
      <c r="B64" s="2" t="s">
        <v>121</v>
      </c>
      <c r="C64" s="37">
        <v>20</v>
      </c>
      <c r="E64" s="10" t="s">
        <v>38</v>
      </c>
    </row>
    <row r="65" spans="2:5" x14ac:dyDescent="0.25">
      <c r="B65" s="2" t="s">
        <v>122</v>
      </c>
      <c r="C65" s="23">
        <f>((C62-C44)*C47)+((C63-C64)*0.4*C47)*C51</f>
        <v>1127135.5831608912</v>
      </c>
      <c r="E65" s="10" t="s">
        <v>46</v>
      </c>
    </row>
    <row r="66" spans="2:5" x14ac:dyDescent="0.25">
      <c r="B66" s="2" t="s">
        <v>123</v>
      </c>
      <c r="C66" s="24">
        <f>C65/C49*52</f>
        <v>751423.72210726072</v>
      </c>
      <c r="E66" s="10" t="s">
        <v>46</v>
      </c>
    </row>
    <row r="67" spans="2:5" x14ac:dyDescent="0.25">
      <c r="D67" s="21"/>
    </row>
  </sheetData>
  <mergeCells count="3">
    <mergeCell ref="A5:E5"/>
    <mergeCell ref="A18:E18"/>
    <mergeCell ref="A39:E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2023-7FF8-4843-8C22-35B01FCE5E0C}">
  <dimension ref="A2:K66"/>
  <sheetViews>
    <sheetView tabSelected="1" workbookViewId="0">
      <selection activeCell="C13" sqref="C13"/>
    </sheetView>
  </sheetViews>
  <sheetFormatPr defaultRowHeight="13.2" x14ac:dyDescent="0.25"/>
  <cols>
    <col min="1" max="1" width="8.88671875" style="11"/>
    <col min="2" max="2" width="30.44140625" bestFit="1" customWidth="1"/>
    <col min="3" max="3" width="15.109375" bestFit="1" customWidth="1"/>
    <col min="4" max="4" width="78.88671875" style="10" bestFit="1" customWidth="1"/>
    <col min="5" max="5" width="16.21875" customWidth="1"/>
    <col min="6" max="6" width="13.77734375" bestFit="1" customWidth="1"/>
    <col min="7" max="7" width="16.21875" bestFit="1" customWidth="1"/>
    <col min="8" max="8" width="13.77734375" customWidth="1"/>
    <col min="9" max="9" width="14" bestFit="1" customWidth="1"/>
    <col min="10" max="10" width="16.21875" bestFit="1" customWidth="1"/>
    <col min="11" max="11" width="14.109375" bestFit="1" customWidth="1"/>
  </cols>
  <sheetData>
    <row r="2" spans="1:11" x14ac:dyDescent="0.25">
      <c r="A2" s="11" t="s">
        <v>124</v>
      </c>
      <c r="B2" t="s">
        <v>125</v>
      </c>
      <c r="C2" s="19">
        <f>C9/(1-C8)</f>
        <v>23257166.114308972</v>
      </c>
    </row>
    <row r="4" spans="1:11" x14ac:dyDescent="0.25">
      <c r="A4" s="12" t="s">
        <v>44</v>
      </c>
      <c r="B4" s="8" t="s">
        <v>59</v>
      </c>
      <c r="C4" s="8"/>
      <c r="D4" s="9" t="s">
        <v>41</v>
      </c>
      <c r="E4" s="12" t="s">
        <v>42</v>
      </c>
    </row>
    <row r="5" spans="1:11" x14ac:dyDescent="0.25">
      <c r="A5" s="43" t="s">
        <v>40</v>
      </c>
      <c r="B5" s="43"/>
      <c r="C5" s="43"/>
      <c r="D5" s="43"/>
      <c r="E5" s="43"/>
    </row>
    <row r="6" spans="1:11" x14ac:dyDescent="0.25">
      <c r="A6" s="11">
        <v>1</v>
      </c>
      <c r="B6" s="1" t="s">
        <v>0</v>
      </c>
      <c r="C6" s="40">
        <v>40000</v>
      </c>
      <c r="E6" s="10" t="s">
        <v>107</v>
      </c>
      <c r="H6">
        <f>C6/C7</f>
        <v>21164.021164021164</v>
      </c>
    </row>
    <row r="7" spans="1:11" x14ac:dyDescent="0.25">
      <c r="A7" s="11">
        <v>2</v>
      </c>
      <c r="B7" s="1" t="s">
        <v>139</v>
      </c>
      <c r="C7" s="7">
        <v>1.89</v>
      </c>
      <c r="E7" s="10" t="s">
        <v>38</v>
      </c>
      <c r="F7" s="25"/>
    </row>
    <row r="8" spans="1:11" x14ac:dyDescent="0.25">
      <c r="A8" s="11">
        <v>3</v>
      </c>
      <c r="B8" s="1" t="s">
        <v>45</v>
      </c>
      <c r="C8" s="44">
        <v>0.09</v>
      </c>
      <c r="E8" s="10" t="s">
        <v>38</v>
      </c>
      <c r="F8" s="25"/>
      <c r="H8" s="17"/>
    </row>
    <row r="9" spans="1:11" x14ac:dyDescent="0.25">
      <c r="A9" s="11">
        <v>4</v>
      </c>
      <c r="B9" s="1" t="s">
        <v>3</v>
      </c>
      <c r="C9" s="27">
        <f>C6*1000/C7</f>
        <v>21164021.164021164</v>
      </c>
      <c r="D9" s="13" t="s">
        <v>47</v>
      </c>
      <c r="E9" s="10" t="s">
        <v>46</v>
      </c>
      <c r="F9" s="25"/>
      <c r="G9" s="17">
        <f>C6*1000/C7</f>
        <v>21164021.164021164</v>
      </c>
    </row>
    <row r="10" spans="1:11" x14ac:dyDescent="0.25">
      <c r="A10" s="11">
        <v>5</v>
      </c>
      <c r="B10" s="2" t="s">
        <v>48</v>
      </c>
      <c r="C10" s="31">
        <v>58</v>
      </c>
      <c r="E10" s="10" t="s">
        <v>39</v>
      </c>
      <c r="F10" s="25" t="s">
        <v>114</v>
      </c>
      <c r="G10" s="19"/>
      <c r="H10" s="19"/>
      <c r="I10" s="19"/>
    </row>
    <row r="11" spans="1:11" x14ac:dyDescent="0.25">
      <c r="A11" s="11">
        <v>6</v>
      </c>
      <c r="B11" s="1" t="s">
        <v>5</v>
      </c>
      <c r="C11" s="32">
        <f>365/C10</f>
        <v>6.2931034482758621</v>
      </c>
      <c r="D11" s="13" t="s">
        <v>49</v>
      </c>
      <c r="E11" s="10" t="s">
        <v>46</v>
      </c>
      <c r="F11" s="25"/>
    </row>
    <row r="12" spans="1:11" x14ac:dyDescent="0.25">
      <c r="A12" s="11">
        <v>7</v>
      </c>
      <c r="B12" s="1" t="s">
        <v>50</v>
      </c>
      <c r="C12" s="34">
        <f>C9/C11</f>
        <v>3363049.938392404</v>
      </c>
      <c r="D12" s="13" t="s">
        <v>51</v>
      </c>
      <c r="E12" s="10" t="s">
        <v>46</v>
      </c>
      <c r="F12" s="25"/>
    </row>
    <row r="13" spans="1:11" x14ac:dyDescent="0.25">
      <c r="A13" s="11">
        <v>8</v>
      </c>
      <c r="B13" s="2" t="s">
        <v>52</v>
      </c>
      <c r="C13" s="7">
        <v>360000</v>
      </c>
      <c r="E13" s="10" t="s">
        <v>38</v>
      </c>
      <c r="F13" s="25"/>
      <c r="I13" t="s">
        <v>132</v>
      </c>
      <c r="J13" t="s">
        <v>133</v>
      </c>
      <c r="K13" s="1" t="s">
        <v>0</v>
      </c>
    </row>
    <row r="14" spans="1:11" x14ac:dyDescent="0.25">
      <c r="A14" s="11">
        <v>9</v>
      </c>
      <c r="B14" s="1" t="s">
        <v>54</v>
      </c>
      <c r="C14" s="41">
        <f>C12/C13</f>
        <v>9.3418053844233437</v>
      </c>
      <c r="D14" s="13" t="s">
        <v>53</v>
      </c>
      <c r="E14" s="10" t="s">
        <v>106</v>
      </c>
      <c r="G14" s="19"/>
      <c r="H14" s="19">
        <v>13.05</v>
      </c>
      <c r="I14" s="19">
        <f>H14*C13</f>
        <v>4698000</v>
      </c>
      <c r="J14" s="17">
        <f>I14*C11</f>
        <v>29565000</v>
      </c>
      <c r="K14" s="19">
        <f>J14*1.8</f>
        <v>53217000</v>
      </c>
    </row>
    <row r="15" spans="1:11" x14ac:dyDescent="0.25">
      <c r="A15" s="11">
        <v>10</v>
      </c>
      <c r="B15" s="1" t="s">
        <v>55</v>
      </c>
      <c r="C15" s="7">
        <v>12</v>
      </c>
      <c r="E15" s="10" t="s">
        <v>38</v>
      </c>
      <c r="F15" s="25"/>
    </row>
    <row r="16" spans="1:11" x14ac:dyDescent="0.25">
      <c r="A16" s="11">
        <v>11</v>
      </c>
      <c r="B16" s="1" t="s">
        <v>56</v>
      </c>
      <c r="C16" s="7">
        <v>1680</v>
      </c>
      <c r="E16" s="10" t="s">
        <v>38</v>
      </c>
      <c r="F16" s="25"/>
    </row>
    <row r="17" spans="1:9" x14ac:dyDescent="0.25">
      <c r="A17" s="11">
        <v>12</v>
      </c>
      <c r="B17" s="1" t="s">
        <v>57</v>
      </c>
      <c r="C17" s="45">
        <f>C13/C15/C16</f>
        <v>17.857142857142858</v>
      </c>
      <c r="D17" s="13" t="s">
        <v>58</v>
      </c>
      <c r="E17" s="10" t="s">
        <v>46</v>
      </c>
      <c r="F17" s="25"/>
    </row>
    <row r="18" spans="1:9" x14ac:dyDescent="0.25">
      <c r="A18" s="43" t="s">
        <v>104</v>
      </c>
      <c r="B18" s="43"/>
      <c r="C18" s="43"/>
      <c r="D18" s="43"/>
      <c r="E18" s="43"/>
    </row>
    <row r="19" spans="1:9" x14ac:dyDescent="0.25">
      <c r="A19" s="11">
        <v>13</v>
      </c>
      <c r="B19" s="1" t="s">
        <v>83</v>
      </c>
      <c r="C19" s="7">
        <v>0.5</v>
      </c>
      <c r="E19" s="10" t="s">
        <v>38</v>
      </c>
      <c r="H19" s="19" t="s">
        <v>126</v>
      </c>
      <c r="I19">
        <v>78</v>
      </c>
    </row>
    <row r="20" spans="1:9" x14ac:dyDescent="0.25">
      <c r="A20" s="11">
        <v>14</v>
      </c>
      <c r="B20" s="2" t="s">
        <v>84</v>
      </c>
      <c r="C20" s="1">
        <f>1-C19</f>
        <v>0.5</v>
      </c>
      <c r="D20" s="13" t="s">
        <v>85</v>
      </c>
      <c r="E20" s="10" t="s">
        <v>46</v>
      </c>
      <c r="H20" t="s">
        <v>127</v>
      </c>
    </row>
    <row r="21" spans="1:9" x14ac:dyDescent="0.25">
      <c r="A21" s="11">
        <v>15</v>
      </c>
      <c r="B21" s="2" t="s">
        <v>87</v>
      </c>
      <c r="C21" s="32">
        <f>((C2/C20))</f>
        <v>46514332.228617944</v>
      </c>
      <c r="D21" s="26" t="s">
        <v>86</v>
      </c>
      <c r="E21" s="10" t="s">
        <v>46</v>
      </c>
    </row>
    <row r="22" spans="1:9" x14ac:dyDescent="0.25">
      <c r="A22" s="11">
        <v>16</v>
      </c>
      <c r="B22" s="1" t="s">
        <v>15</v>
      </c>
      <c r="C22" s="38">
        <v>80000</v>
      </c>
      <c r="E22" s="10" t="s">
        <v>38</v>
      </c>
    </row>
    <row r="23" spans="1:9" x14ac:dyDescent="0.25">
      <c r="A23" s="11">
        <v>17</v>
      </c>
      <c r="B23" s="1" t="s">
        <v>16</v>
      </c>
      <c r="C23" s="7">
        <v>0.06</v>
      </c>
      <c r="E23" s="10" t="s">
        <v>38</v>
      </c>
    </row>
    <row r="24" spans="1:9" x14ac:dyDescent="0.25">
      <c r="A24" s="11">
        <v>18</v>
      </c>
      <c r="B24" s="1" t="s">
        <v>17</v>
      </c>
      <c r="C24" s="7">
        <f>(1-C23)*C22</f>
        <v>75200</v>
      </c>
      <c r="D24" s="13" t="s">
        <v>63</v>
      </c>
      <c r="E24" s="10" t="s">
        <v>46</v>
      </c>
    </row>
    <row r="25" spans="1:9" x14ac:dyDescent="0.25">
      <c r="A25" s="11">
        <v>19</v>
      </c>
      <c r="B25" s="2" t="s">
        <v>74</v>
      </c>
      <c r="C25" s="7">
        <v>191</v>
      </c>
      <c r="E25" s="10" t="s">
        <v>38</v>
      </c>
    </row>
    <row r="26" spans="1:9" x14ac:dyDescent="0.25">
      <c r="A26" s="11">
        <v>20</v>
      </c>
      <c r="B26" s="2" t="s">
        <v>76</v>
      </c>
      <c r="C26" s="3">
        <f>C25*C27</f>
        <v>152.80000000000001</v>
      </c>
      <c r="D26" s="13" t="s">
        <v>115</v>
      </c>
      <c r="E26" s="10" t="s">
        <v>38</v>
      </c>
      <c r="F26" t="s">
        <v>113</v>
      </c>
    </row>
    <row r="27" spans="1:9" x14ac:dyDescent="0.25">
      <c r="A27" s="11">
        <v>21</v>
      </c>
      <c r="B27" s="2" t="s">
        <v>20</v>
      </c>
      <c r="C27" s="7">
        <v>0.8</v>
      </c>
      <c r="E27" s="10" t="s">
        <v>38</v>
      </c>
    </row>
    <row r="28" spans="1:9" x14ac:dyDescent="0.25">
      <c r="A28" s="11">
        <v>22</v>
      </c>
      <c r="B28" s="1" t="s">
        <v>65</v>
      </c>
      <c r="C28" s="34">
        <f>C24*C26</f>
        <v>11490560</v>
      </c>
      <c r="D28" s="13" t="s">
        <v>77</v>
      </c>
      <c r="E28" s="10" t="s">
        <v>46</v>
      </c>
    </row>
    <row r="29" spans="1:9" x14ac:dyDescent="0.25">
      <c r="A29" s="11">
        <v>23</v>
      </c>
      <c r="B29" s="1" t="s">
        <v>64</v>
      </c>
      <c r="C29" s="7">
        <v>78</v>
      </c>
      <c r="E29" s="10" t="s">
        <v>38</v>
      </c>
    </row>
    <row r="30" spans="1:9" x14ac:dyDescent="0.25">
      <c r="A30" s="11">
        <v>24</v>
      </c>
      <c r="B30" s="1" t="s">
        <v>66</v>
      </c>
      <c r="C30" s="35">
        <f>C28/C29*52</f>
        <v>7660373.333333333</v>
      </c>
      <c r="D30" s="13" t="s">
        <v>67</v>
      </c>
      <c r="E30" s="10" t="s">
        <v>46</v>
      </c>
    </row>
    <row r="31" spans="1:9" x14ac:dyDescent="0.25">
      <c r="A31" s="11">
        <v>25</v>
      </c>
      <c r="B31" s="1" t="s">
        <v>78</v>
      </c>
      <c r="C31" s="35">
        <f>C24*C25/C29*52</f>
        <v>9575466.6666666679</v>
      </c>
      <c r="D31" s="13" t="s">
        <v>75</v>
      </c>
      <c r="E31" s="10" t="s">
        <v>46</v>
      </c>
    </row>
    <row r="32" spans="1:9" x14ac:dyDescent="0.25">
      <c r="A32" s="11">
        <v>26</v>
      </c>
      <c r="B32" s="1" t="s">
        <v>137</v>
      </c>
      <c r="C32" s="36">
        <f>C21/C30</f>
        <v>6.0720711908668434</v>
      </c>
      <c r="D32" s="13" t="s">
        <v>88</v>
      </c>
      <c r="E32" s="10" t="s">
        <v>106</v>
      </c>
    </row>
    <row r="33" spans="1:9" x14ac:dyDescent="0.25">
      <c r="A33" s="11">
        <v>27</v>
      </c>
      <c r="B33" s="1" t="s">
        <v>69</v>
      </c>
      <c r="C33" s="7">
        <v>115200</v>
      </c>
      <c r="E33" s="10" t="s">
        <v>38</v>
      </c>
    </row>
    <row r="34" spans="1:9" x14ac:dyDescent="0.25">
      <c r="A34" s="11">
        <v>28</v>
      </c>
      <c r="B34" s="1" t="s">
        <v>70</v>
      </c>
      <c r="C34" s="3">
        <v>19</v>
      </c>
      <c r="E34" s="10" t="s">
        <v>39</v>
      </c>
      <c r="G34">
        <v>41</v>
      </c>
      <c r="H34">
        <f>G34*C33*365/19</f>
        <v>90735157.894736841</v>
      </c>
      <c r="I34" s="20">
        <f>C35/H34</f>
        <v>0.64079808350832279</v>
      </c>
    </row>
    <row r="35" spans="1:9" x14ac:dyDescent="0.25">
      <c r="A35" s="11">
        <v>29</v>
      </c>
      <c r="B35" s="1" t="s">
        <v>71</v>
      </c>
      <c r="C35" s="30">
        <f>C32*C31</f>
        <v>58142915.285772435</v>
      </c>
      <c r="D35" s="13" t="s">
        <v>79</v>
      </c>
      <c r="E35" s="10" t="s">
        <v>46</v>
      </c>
    </row>
    <row r="36" spans="1:9" x14ac:dyDescent="0.25">
      <c r="A36" s="11">
        <v>30</v>
      </c>
      <c r="B36" s="1" t="s">
        <v>72</v>
      </c>
      <c r="C36" s="7">
        <v>0.8</v>
      </c>
      <c r="E36" s="10" t="s">
        <v>38</v>
      </c>
      <c r="H36" t="s">
        <v>116</v>
      </c>
      <c r="I36" t="s">
        <v>117</v>
      </c>
    </row>
    <row r="37" spans="1:9" x14ac:dyDescent="0.25">
      <c r="A37" s="11">
        <v>31</v>
      </c>
      <c r="B37" s="1" t="s">
        <v>73</v>
      </c>
      <c r="C37" s="33">
        <f>C35/C36/(C33*365/C34)</f>
        <v>32.840901779801541</v>
      </c>
      <c r="D37" s="13" t="s">
        <v>80</v>
      </c>
      <c r="E37" s="10" t="s">
        <v>106</v>
      </c>
      <c r="G37">
        <v>43</v>
      </c>
      <c r="H37" s="17">
        <f>G37*C33*365/19</f>
        <v>95161263.157894731</v>
      </c>
      <c r="I37" s="18">
        <f>C35/H37</f>
        <v>0.61099352148467989</v>
      </c>
    </row>
    <row r="38" spans="1:9" x14ac:dyDescent="0.25">
      <c r="A38" s="43" t="s">
        <v>103</v>
      </c>
      <c r="B38" s="43"/>
      <c r="C38" s="43"/>
      <c r="D38" s="43"/>
      <c r="E38" s="43"/>
    </row>
    <row r="39" spans="1:9" x14ac:dyDescent="0.25">
      <c r="A39" s="11">
        <v>32</v>
      </c>
      <c r="B39" s="1" t="s">
        <v>138</v>
      </c>
      <c r="C39" s="39">
        <f>C22*C32/C29*52</f>
        <v>323843.79684623162</v>
      </c>
      <c r="D39" s="13" t="s">
        <v>82</v>
      </c>
      <c r="E39" s="10" t="s">
        <v>46</v>
      </c>
      <c r="G39" s="19">
        <f>C22*((C32/3)*2)</f>
        <v>323843.79684623162</v>
      </c>
    </row>
    <row r="40" spans="1:9" x14ac:dyDescent="0.25">
      <c r="A40" s="11">
        <v>33</v>
      </c>
      <c r="B40" s="1" t="s">
        <v>60</v>
      </c>
      <c r="C40" s="7">
        <v>0.43</v>
      </c>
      <c r="E40" s="10" t="s">
        <v>38</v>
      </c>
    </row>
    <row r="41" spans="1:9" x14ac:dyDescent="0.25">
      <c r="A41" s="11">
        <v>34</v>
      </c>
      <c r="B41" s="1" t="s">
        <v>61</v>
      </c>
      <c r="C41" s="1">
        <f>1-C40</f>
        <v>0.57000000000000006</v>
      </c>
      <c r="D41" s="13" t="s">
        <v>62</v>
      </c>
      <c r="E41" s="10" t="s">
        <v>46</v>
      </c>
      <c r="G41" s="19" t="e">
        <f>C22*#REF!</f>
        <v>#REF!</v>
      </c>
    </row>
    <row r="42" spans="1:9" x14ac:dyDescent="0.25">
      <c r="A42" s="11">
        <v>35</v>
      </c>
      <c r="B42" s="1" t="s">
        <v>30</v>
      </c>
      <c r="C42" s="39">
        <f>C39/C41</f>
        <v>568147.01201093255</v>
      </c>
      <c r="D42" s="13" t="s">
        <v>89</v>
      </c>
      <c r="E42" s="10" t="s">
        <v>46</v>
      </c>
    </row>
    <row r="43" spans="1:9" x14ac:dyDescent="0.25">
      <c r="A43" s="11">
        <v>36</v>
      </c>
      <c r="B43" s="2" t="s">
        <v>91</v>
      </c>
      <c r="C43" s="7">
        <v>48</v>
      </c>
      <c r="E43" s="10" t="s">
        <v>38</v>
      </c>
    </row>
    <row r="44" spans="1:9" x14ac:dyDescent="0.25">
      <c r="A44" s="11">
        <v>37</v>
      </c>
      <c r="B44" s="1" t="s">
        <v>32</v>
      </c>
      <c r="C44" s="7">
        <v>10000</v>
      </c>
      <c r="E44" s="10" t="s">
        <v>38</v>
      </c>
    </row>
    <row r="45" spans="1:9" x14ac:dyDescent="0.25">
      <c r="A45" s="11">
        <v>38</v>
      </c>
      <c r="B45" s="1" t="s">
        <v>33</v>
      </c>
      <c r="C45" s="7">
        <v>0.13</v>
      </c>
      <c r="E45" s="10" t="s">
        <v>38</v>
      </c>
    </row>
    <row r="46" spans="1:9" x14ac:dyDescent="0.25">
      <c r="A46" s="11">
        <v>39</v>
      </c>
      <c r="B46" s="1" t="s">
        <v>34</v>
      </c>
      <c r="C46" s="7">
        <f>C44*(1-C45)</f>
        <v>8700</v>
      </c>
      <c r="D46" s="13" t="s">
        <v>90</v>
      </c>
      <c r="E46" s="10" t="s">
        <v>46</v>
      </c>
    </row>
    <row r="47" spans="1:9" x14ac:dyDescent="0.25">
      <c r="A47" s="11">
        <v>40</v>
      </c>
      <c r="B47" s="1" t="s">
        <v>93</v>
      </c>
      <c r="C47" s="7">
        <f>C46*C43</f>
        <v>417600</v>
      </c>
      <c r="D47" s="13" t="s">
        <v>92</v>
      </c>
      <c r="E47" s="10" t="s">
        <v>46</v>
      </c>
    </row>
    <row r="48" spans="1:9" x14ac:dyDescent="0.25">
      <c r="A48" s="11">
        <v>41</v>
      </c>
      <c r="B48" s="1" t="s">
        <v>36</v>
      </c>
      <c r="C48" s="7">
        <v>78</v>
      </c>
      <c r="E48" s="10" t="s">
        <v>38</v>
      </c>
    </row>
    <row r="49" spans="1:7" x14ac:dyDescent="0.25">
      <c r="A49" s="11">
        <v>42</v>
      </c>
      <c r="B49" s="1" t="s">
        <v>96</v>
      </c>
      <c r="C49" s="7">
        <f>C47/C48*52</f>
        <v>278400</v>
      </c>
      <c r="D49" s="13" t="s">
        <v>94</v>
      </c>
      <c r="E49" s="10" t="s">
        <v>46</v>
      </c>
    </row>
    <row r="50" spans="1:7" x14ac:dyDescent="0.25">
      <c r="A50" s="11">
        <v>43</v>
      </c>
      <c r="B50" s="2" t="s">
        <v>95</v>
      </c>
      <c r="C50" s="36">
        <f>(C42/C49)</f>
        <v>2.0407579454415679</v>
      </c>
      <c r="D50" s="13" t="s">
        <v>97</v>
      </c>
      <c r="E50" s="10" t="s">
        <v>106</v>
      </c>
    </row>
    <row r="51" spans="1:7" x14ac:dyDescent="0.25">
      <c r="A51" s="11">
        <v>44</v>
      </c>
      <c r="B51" s="1" t="s">
        <v>101</v>
      </c>
      <c r="C51" s="7">
        <v>38400</v>
      </c>
      <c r="E51" s="10" t="s">
        <v>38</v>
      </c>
    </row>
    <row r="52" spans="1:7" x14ac:dyDescent="0.25">
      <c r="A52" s="11">
        <v>45</v>
      </c>
      <c r="B52" s="1" t="s">
        <v>102</v>
      </c>
      <c r="C52" s="2">
        <v>19</v>
      </c>
      <c r="E52" s="10" t="s">
        <v>39</v>
      </c>
    </row>
    <row r="53" spans="1:7" x14ac:dyDescent="0.25">
      <c r="A53" s="11">
        <v>46</v>
      </c>
      <c r="B53" s="1" t="s">
        <v>98</v>
      </c>
      <c r="C53" s="15">
        <f>C59*C50</f>
        <v>2438297.5932135852</v>
      </c>
      <c r="D53" s="13" t="s">
        <v>99</v>
      </c>
      <c r="E53" s="10" t="s">
        <v>46</v>
      </c>
    </row>
    <row r="54" spans="1:7" x14ac:dyDescent="0.25">
      <c r="A54" s="11">
        <v>47</v>
      </c>
      <c r="B54" s="1" t="s">
        <v>100</v>
      </c>
      <c r="C54" s="7">
        <v>0.7</v>
      </c>
      <c r="E54" s="10" t="s">
        <v>38</v>
      </c>
    </row>
    <row r="55" spans="1:7" x14ac:dyDescent="0.25">
      <c r="A55" s="11">
        <v>48</v>
      </c>
      <c r="B55" s="1" t="s">
        <v>105</v>
      </c>
      <c r="C55" s="33">
        <f>C53/C54/(C51*365/C52)</f>
        <v>4.7219151858139794</v>
      </c>
      <c r="D55" s="13" t="s">
        <v>112</v>
      </c>
      <c r="E55" s="10" t="s">
        <v>106</v>
      </c>
    </row>
    <row r="56" spans="1:7" x14ac:dyDescent="0.25">
      <c r="A56" s="11">
        <v>49</v>
      </c>
      <c r="B56" s="2" t="s">
        <v>108</v>
      </c>
      <c r="C56" s="37">
        <v>150</v>
      </c>
      <c r="E56" s="10" t="s">
        <v>38</v>
      </c>
    </row>
    <row r="57" spans="1:7" x14ac:dyDescent="0.25">
      <c r="A57" s="11">
        <v>50</v>
      </c>
      <c r="B57" s="2" t="s">
        <v>109</v>
      </c>
      <c r="C57" s="37">
        <v>140</v>
      </c>
      <c r="E57" s="10" t="s">
        <v>38</v>
      </c>
    </row>
    <row r="58" spans="1:7" x14ac:dyDescent="0.25">
      <c r="A58" s="11">
        <v>51</v>
      </c>
      <c r="B58" s="2" t="s">
        <v>119</v>
      </c>
      <c r="C58" s="17">
        <f>C46*C56+0.4*C46*C57</f>
        <v>1792200</v>
      </c>
      <c r="E58" s="10" t="s">
        <v>46</v>
      </c>
    </row>
    <row r="59" spans="1:7" x14ac:dyDescent="0.25">
      <c r="A59" s="11">
        <v>52</v>
      </c>
      <c r="B59" s="2" t="s">
        <v>110</v>
      </c>
      <c r="C59" s="17">
        <f>C58/C48*52</f>
        <v>1194800</v>
      </c>
      <c r="E59" s="10" t="s">
        <v>46</v>
      </c>
    </row>
    <row r="60" spans="1:7" x14ac:dyDescent="0.25">
      <c r="A60" s="11">
        <v>53</v>
      </c>
      <c r="B60" s="2" t="s">
        <v>111</v>
      </c>
      <c r="C60" s="17">
        <f>C59*C50</f>
        <v>2438297.5932135852</v>
      </c>
      <c r="E60" s="10" t="s">
        <v>46</v>
      </c>
      <c r="G60" s="17">
        <f>C59*2</f>
        <v>2389600</v>
      </c>
    </row>
    <row r="61" spans="1:7" x14ac:dyDescent="0.25">
      <c r="B61" s="2" t="s">
        <v>120</v>
      </c>
      <c r="C61" s="37">
        <f>C56*0.75</f>
        <v>112.5</v>
      </c>
      <c r="E61" s="10" t="s">
        <v>38</v>
      </c>
    </row>
    <row r="62" spans="1:7" x14ac:dyDescent="0.25">
      <c r="B62" s="2" t="s">
        <v>118</v>
      </c>
      <c r="C62" s="37">
        <f>C57*0.7</f>
        <v>98</v>
      </c>
      <c r="E62" s="10" t="s">
        <v>38</v>
      </c>
    </row>
    <row r="63" spans="1:7" x14ac:dyDescent="0.25">
      <c r="B63" s="2" t="s">
        <v>121</v>
      </c>
      <c r="C63" s="37">
        <v>20</v>
      </c>
      <c r="E63" s="10" t="s">
        <v>38</v>
      </c>
    </row>
    <row r="64" spans="1:7" x14ac:dyDescent="0.25">
      <c r="B64" s="2" t="s">
        <v>122</v>
      </c>
      <c r="C64" s="23">
        <f>((C61-C43)*C46)+((C62-C63)*0.4*C46)*C50</f>
        <v>1115093.3367106593</v>
      </c>
      <c r="E64" s="10" t="s">
        <v>46</v>
      </c>
    </row>
    <row r="65" spans="2:5" x14ac:dyDescent="0.25">
      <c r="B65" s="2" t="s">
        <v>123</v>
      </c>
      <c r="C65" s="24">
        <f>C64/C48*52</f>
        <v>743395.55780710629</v>
      </c>
      <c r="E65" s="10" t="s">
        <v>46</v>
      </c>
    </row>
    <row r="66" spans="2:5" x14ac:dyDescent="0.25">
      <c r="D66" s="21"/>
    </row>
  </sheetData>
  <mergeCells count="3">
    <mergeCell ref="A5:E5"/>
    <mergeCell ref="A18:E18"/>
    <mergeCell ref="A38:E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2420-D05D-4288-821E-C2AD2ED5C74F}">
  <dimension ref="C5:D8"/>
  <sheetViews>
    <sheetView workbookViewId="0">
      <selection activeCell="D11" sqref="D11"/>
    </sheetView>
  </sheetViews>
  <sheetFormatPr defaultRowHeight="13.2" x14ac:dyDescent="0.25"/>
  <cols>
    <col min="3" max="3" width="41.21875" bestFit="1" customWidth="1"/>
    <col min="4" max="4" width="12.5546875" bestFit="1" customWidth="1"/>
  </cols>
  <sheetData>
    <row r="5" spans="3:4" x14ac:dyDescent="0.25">
      <c r="C5" s="42" t="s">
        <v>128</v>
      </c>
      <c r="D5">
        <f>365/60</f>
        <v>6.083333333333333</v>
      </c>
    </row>
    <row r="6" spans="3:4" x14ac:dyDescent="0.25">
      <c r="C6" s="42" t="s">
        <v>129</v>
      </c>
      <c r="D6">
        <f>350000*13</f>
        <v>4550000</v>
      </c>
    </row>
    <row r="7" spans="3:4" x14ac:dyDescent="0.25">
      <c r="C7" s="42" t="s">
        <v>130</v>
      </c>
      <c r="D7">
        <f>D6*D5*(1-0.08)</f>
        <v>25464833.333333332</v>
      </c>
    </row>
    <row r="8" spans="3:4" x14ac:dyDescent="0.25">
      <c r="C8" s="42" t="s">
        <v>131</v>
      </c>
      <c r="D8" s="17">
        <f>(D7*1.8)/1000</f>
        <v>45836.7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35A9-8D94-4592-BE81-1DE326B8D2ED}">
  <dimension ref="E8:I18"/>
  <sheetViews>
    <sheetView workbookViewId="0">
      <selection activeCell="I12" sqref="I12"/>
    </sheetView>
  </sheetViews>
  <sheetFormatPr defaultRowHeight="13.2" x14ac:dyDescent="0.25"/>
  <cols>
    <col min="5" max="5" width="12.6640625" bestFit="1" customWidth="1"/>
  </cols>
  <sheetData>
    <row r="8" spans="5:9" x14ac:dyDescent="0.25">
      <c r="E8" s="28">
        <v>60386473.420000002</v>
      </c>
    </row>
    <row r="12" spans="5:9" x14ac:dyDescent="0.25">
      <c r="E12" s="28">
        <v>5414400</v>
      </c>
      <c r="I12" t="s">
        <v>134</v>
      </c>
    </row>
    <row r="18" spans="5:5" x14ac:dyDescent="0.25">
      <c r="E18" s="29">
        <f>E8/E12</f>
        <v>11.152939092050827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Test</vt:lpstr>
      <vt:lpstr>rearing</vt:lpstr>
      <vt:lpstr>All In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Moustafa Afify</dc:creator>
  <cp:lastModifiedBy>Mohamed Abdelnasser</cp:lastModifiedBy>
  <dcterms:created xsi:type="dcterms:W3CDTF">2025-02-20T14:49:00Z</dcterms:created>
  <dcterms:modified xsi:type="dcterms:W3CDTF">2026-01-19T14:47:09Z</dcterms:modified>
</cp:coreProperties>
</file>